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lugin\ATP\Docs\"/>
    </mc:Choice>
  </mc:AlternateContent>
  <xr:revisionPtr revIDLastSave="0" documentId="8_{D6F9B41A-41A9-4CBE-84B3-459999539DFA}" xr6:coauthVersionLast="47" xr6:coauthVersionMax="47" xr10:uidLastSave="{00000000-0000-0000-0000-000000000000}"/>
  <bookViews>
    <workbookView xWindow="28680" yWindow="-120" windowWidth="29040" windowHeight="15720" xr2:uid="{AA14F8F0-8B4F-4C20-BC15-ECDA0534B348}"/>
  </bookViews>
  <sheets>
    <sheet name="2.2 Marketing Strategy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4" i="1" l="1"/>
  <c r="I94" i="1"/>
  <c r="AT93" i="1"/>
  <c r="AS93" i="1"/>
  <c r="AT92" i="1"/>
  <c r="AS92" i="1"/>
  <c r="AT91" i="1"/>
  <c r="AS91" i="1"/>
  <c r="AT90" i="1"/>
  <c r="AS90" i="1"/>
  <c r="AT89" i="1"/>
  <c r="AS89" i="1"/>
  <c r="AT88" i="1"/>
  <c r="AS88" i="1"/>
  <c r="AT87" i="1"/>
  <c r="AS87" i="1"/>
  <c r="AT86" i="1"/>
  <c r="AS86" i="1"/>
  <c r="AT85" i="1"/>
  <c r="AS85" i="1"/>
  <c r="AT84" i="1"/>
  <c r="AS84" i="1"/>
  <c r="AT83" i="1"/>
  <c r="AS83" i="1"/>
  <c r="AT82" i="1"/>
  <c r="AS82" i="1"/>
  <c r="AT81" i="1"/>
  <c r="AS81" i="1"/>
  <c r="AT80" i="1"/>
  <c r="AS80" i="1"/>
  <c r="AT79" i="1"/>
  <c r="AS79" i="1"/>
  <c r="AT78" i="1"/>
  <c r="AS78" i="1"/>
  <c r="AT77" i="1"/>
  <c r="AS77" i="1"/>
  <c r="AT76" i="1"/>
  <c r="AS76" i="1"/>
  <c r="AT75" i="1"/>
  <c r="AS75" i="1"/>
  <c r="AT74" i="1"/>
  <c r="AS74" i="1"/>
  <c r="AT73" i="1"/>
  <c r="AS73" i="1"/>
  <c r="AT72" i="1"/>
  <c r="AS72" i="1"/>
  <c r="AT71" i="1"/>
  <c r="AS71" i="1"/>
  <c r="AT70" i="1"/>
  <c r="AS70" i="1"/>
  <c r="AT69" i="1"/>
  <c r="AS69" i="1"/>
  <c r="AT68" i="1"/>
  <c r="AS68" i="1"/>
  <c r="AT67" i="1"/>
  <c r="AS67" i="1"/>
  <c r="AT66" i="1"/>
  <c r="AS66" i="1"/>
  <c r="AT65" i="1"/>
  <c r="AS65" i="1"/>
  <c r="AT64" i="1"/>
  <c r="AS64" i="1"/>
  <c r="AT63" i="1"/>
  <c r="AS63" i="1"/>
  <c r="AS94" i="1" s="1"/>
  <c r="Z94" i="1" s="1"/>
  <c r="AE94" i="1" s="1"/>
  <c r="AJ94" i="1" s="1"/>
  <c r="AK94" i="1" s="1"/>
  <c r="AT62" i="1"/>
  <c r="AT94" i="1" s="1"/>
  <c r="AA94" i="1" s="1"/>
  <c r="AS62" i="1"/>
</calcChain>
</file>

<file path=xl/sharedStrings.xml><?xml version="1.0" encoding="utf-8"?>
<sst xmlns="http://schemas.openxmlformats.org/spreadsheetml/2006/main" count="991" uniqueCount="427">
  <si>
    <t>1.</t>
  </si>
  <si>
    <t>Waive rental - MR Target (RM)</t>
  </si>
  <si>
    <t>CSSI</t>
  </si>
  <si>
    <t>Status</t>
  </si>
  <si>
    <t>Branch</t>
  </si>
  <si>
    <t>Model</t>
  </si>
  <si>
    <t>Serial No.</t>
  </si>
  <si>
    <t>Service Voucher</t>
  </si>
  <si>
    <t>Current Service Date</t>
  </si>
  <si>
    <t>Current TOTAL BK</t>
  </si>
  <si>
    <t>Current TOTAL CL</t>
  </si>
  <si>
    <t>Previous Service Date</t>
  </si>
  <si>
    <t>Previous TOTAL BK</t>
  </si>
  <si>
    <t>Previous TOTAL CL</t>
  </si>
  <si>
    <t>ESTIMATE BK</t>
  </si>
  <si>
    <t>ESTIMATE CL</t>
  </si>
  <si>
    <t>TOTAL BLACK USAGE</t>
  </si>
  <si>
    <t>TOTAL COLOR USAGE</t>
  </si>
  <si>
    <t>FOC BK</t>
  </si>
  <si>
    <t>FOC CL</t>
  </si>
  <si>
    <t>Rate of BK</t>
  </si>
  <si>
    <t>Rate of CL</t>
  </si>
  <si>
    <t>Fixed Rebate BK QTY</t>
  </si>
  <si>
    <t>Fixed Rebate CL QTY</t>
  </si>
  <si>
    <t>Fixed Rebate BK %</t>
  </si>
  <si>
    <t>Fixed Rebate CL %</t>
  </si>
  <si>
    <t>NET BK</t>
  </si>
  <si>
    <t>NET CL</t>
  </si>
  <si>
    <t>BK CHARGES</t>
  </si>
  <si>
    <t>CL CHARGES</t>
  </si>
  <si>
    <t>Rental Amt</t>
  </si>
  <si>
    <t>SUM METER</t>
  </si>
  <si>
    <t>SUM RENTAL</t>
  </si>
  <si>
    <t>Rental amount waive</t>
  </si>
  <si>
    <t>COMMITTED PRINT CHARGES</t>
  </si>
  <si>
    <t>SUM METER AND RENTAL</t>
  </si>
  <si>
    <t>GRAND TOTAL</t>
  </si>
  <si>
    <t>INV NO.</t>
  </si>
  <si>
    <t>SPLIT TEXT</t>
  </si>
  <si>
    <t>Contract start date</t>
  </si>
  <si>
    <t>Day in stallation</t>
  </si>
  <si>
    <t>No. of rental</t>
  </si>
  <si>
    <t>Contract Month</t>
  </si>
  <si>
    <t>No. of rental2</t>
  </si>
  <si>
    <t>Waive rental - MR BK Target (pcs)</t>
  </si>
  <si>
    <t>Waive rental - MR CL Target (pcs)</t>
  </si>
  <si>
    <t>CSSI 00000902</t>
  </si>
  <si>
    <t>ACTIVE</t>
  </si>
  <si>
    <t>XIN HWA TRADING &amp; TRANSPORT SDN BHD</t>
  </si>
  <si>
    <t>iR-ADV C5235</t>
  </si>
  <si>
    <t>WGR30410</t>
  </si>
  <si>
    <t>MR-260607-124</t>
  </si>
  <si>
    <t>MR2606.0199</t>
  </si>
  <si>
    <t>50/60</t>
  </si>
  <si>
    <t>CSSI 00000967</t>
  </si>
  <si>
    <t>XIN HWA - SELANGOR</t>
  </si>
  <si>
    <t>WGR03841</t>
  </si>
  <si>
    <t>PM2606.004</t>
  </si>
  <si>
    <t>MR2606.0219</t>
  </si>
  <si>
    <t>49/60</t>
  </si>
  <si>
    <t>CSSI 00001074</t>
  </si>
  <si>
    <t>XIN HWA FIANANCE DERP.</t>
  </si>
  <si>
    <t>JWH09257D-JWF97065</t>
  </si>
  <si>
    <t>PUMS260619-20</t>
  </si>
  <si>
    <t>MR2606.0146</t>
  </si>
  <si>
    <t>44/60</t>
  </si>
  <si>
    <t>CSSI 00001336</t>
  </si>
  <si>
    <t>iR-ADV C5255</t>
  </si>
  <si>
    <t>JMC09222</t>
  </si>
  <si>
    <t>PUMS260619-13</t>
  </si>
  <si>
    <t>MR2606.0148</t>
  </si>
  <si>
    <t>33/60</t>
  </si>
  <si>
    <t>CSSI 00001430</t>
  </si>
  <si>
    <t>XIN HWA SUPPLY - SHAH ALAM</t>
  </si>
  <si>
    <t>JMC12123</t>
  </si>
  <si>
    <t>PM2606.002</t>
  </si>
  <si>
    <t>MR2606.0220</t>
  </si>
  <si>
    <t>31/60</t>
  </si>
  <si>
    <t>CSSI 00001562</t>
  </si>
  <si>
    <t>KALSARI JAYA SDN BHD</t>
  </si>
  <si>
    <t xml:space="preserve"> iR-ADV C5550i</t>
  </si>
  <si>
    <t>WHL10947</t>
  </si>
  <si>
    <t>PUMS260624-615</t>
  </si>
  <si>
    <t>MR2606.1024</t>
  </si>
  <si>
    <t>28/60</t>
  </si>
  <si>
    <t>CSSI 00002140</t>
  </si>
  <si>
    <t>ILHAM SMART PRINTING</t>
  </si>
  <si>
    <t>WHM03458</t>
  </si>
  <si>
    <t>PUMS260624-575</t>
  </si>
  <si>
    <t>MR2606.0892</t>
  </si>
  <si>
    <t>13/24</t>
  </si>
  <si>
    <t>CSSI 00002236</t>
  </si>
  <si>
    <t>iR-ADV C5560i</t>
  </si>
  <si>
    <t>2HQ01149</t>
  </si>
  <si>
    <t>PUMS260624-576</t>
  </si>
  <si>
    <t>MR2606.1173</t>
  </si>
  <si>
    <t>12/24</t>
  </si>
  <si>
    <t>CSSI 00002629</t>
  </si>
  <si>
    <t>iR-ADV C3530</t>
  </si>
  <si>
    <t>XYM08001</t>
  </si>
  <si>
    <t>PUMS260624-616</t>
  </si>
  <si>
    <t>MR2606.0600</t>
  </si>
  <si>
    <t>8/60</t>
  </si>
  <si>
    <t>CSSI 00002957</t>
  </si>
  <si>
    <t>UTM - UNIVERSITI TEKNOLOGI MALAYSIA</t>
  </si>
  <si>
    <t>XMD00514</t>
  </si>
  <si>
    <t>MR-260610-017</t>
  </si>
  <si>
    <t>.</t>
  </si>
  <si>
    <t>38/60</t>
  </si>
  <si>
    <t>CSSI 00003194</t>
  </si>
  <si>
    <t>NANEL ENTERPRISE UTM</t>
  </si>
  <si>
    <t xml:space="preserve"> iR-ADV C5540i</t>
  </si>
  <si>
    <t>2JR02792</t>
  </si>
  <si>
    <t>PUMS260624-746</t>
  </si>
  <si>
    <t>MR2606.0785</t>
  </si>
  <si>
    <t>2.</t>
  </si>
  <si>
    <t>Rental Waive until month</t>
  </si>
  <si>
    <t>CSSI 00001817</t>
  </si>
  <si>
    <t>PHONEIX AUTOWORLD</t>
  </si>
  <si>
    <t>iR-ADV C4535i</t>
  </si>
  <si>
    <t>2RH00607</t>
  </si>
  <si>
    <t>MR-260607-051</t>
  </si>
  <si>
    <t>MR2606.0952</t>
  </si>
  <si>
    <t>21/60</t>
  </si>
  <si>
    <t>3.</t>
  </si>
  <si>
    <t>CSSI 00001143</t>
  </si>
  <si>
    <t>ACL COMFORT AIR-COND SDN. BHD.</t>
  </si>
  <si>
    <t>iR-ADV C3320</t>
  </si>
  <si>
    <t>QUC05907</t>
  </si>
  <si>
    <t>PUMS260624-045</t>
  </si>
  <si>
    <t>MR2606.0947</t>
  </si>
  <si>
    <t>5/60</t>
  </si>
  <si>
    <t>CSSI 00001300</t>
  </si>
  <si>
    <t>SN POY,CHAI&amp;CO ADVOCATES AND SOLICITORS</t>
  </si>
  <si>
    <t>XVB02770</t>
  </si>
  <si>
    <t>PUMS260624-1005</t>
  </si>
  <si>
    <t>MR2606.0931</t>
  </si>
  <si>
    <t>18/24</t>
  </si>
  <si>
    <t>CSSI 00001622.1</t>
  </si>
  <si>
    <t>TERMINATED</t>
  </si>
  <si>
    <t>ARENA -JPS MERSING PENTADBIRAN</t>
  </si>
  <si>
    <t>iR-ADV DX C5850I</t>
  </si>
  <si>
    <t>2YB12933</t>
  </si>
  <si>
    <t>CSSI 00001622</t>
  </si>
  <si>
    <t>Completed</t>
  </si>
  <si>
    <t>CSSI 00001622.2</t>
  </si>
  <si>
    <t>ARENA STABIL -JPS MERSING</t>
  </si>
  <si>
    <t>2YB14846</t>
  </si>
  <si>
    <t>CSSI 00001622.C</t>
  </si>
  <si>
    <t>ARENA - JPS MERSING PENTADBIRAN</t>
  </si>
  <si>
    <t>COMBINE</t>
  </si>
  <si>
    <t/>
  </si>
  <si>
    <t>CSSI 00001622.R</t>
  </si>
  <si>
    <t>RENTAL</t>
  </si>
  <si>
    <t>R030</t>
  </si>
  <si>
    <t>CSSI 00001781.C</t>
  </si>
  <si>
    <t>KENSINGTON - KGSD W1A LV1</t>
  </si>
  <si>
    <t>PUMS260619-22</t>
  </si>
  <si>
    <t>MR2606.0216</t>
  </si>
  <si>
    <t>CSSI 00001781</t>
  </si>
  <si>
    <t>9/12</t>
  </si>
  <si>
    <t>CSSI 00001933</t>
  </si>
  <si>
    <t>WHK73302</t>
  </si>
  <si>
    <t>PUMS260624-1006</t>
  </si>
  <si>
    <t>MR2606.0870</t>
  </si>
  <si>
    <t>18/36</t>
  </si>
  <si>
    <t>CSSI 00002009</t>
  </si>
  <si>
    <t>XVB03244</t>
  </si>
  <si>
    <t>PUMS260624-1007</t>
  </si>
  <si>
    <t>MR2606.0880</t>
  </si>
  <si>
    <t>CSSI 00002240</t>
  </si>
  <si>
    <t>WHJ01824</t>
  </si>
  <si>
    <t>MR-260606-266</t>
  </si>
  <si>
    <t>MR2606.1179</t>
  </si>
  <si>
    <t>12/60</t>
  </si>
  <si>
    <t>CSSI 00002298</t>
  </si>
  <si>
    <t xml:space="preserve">MIZAN GLOBAL RESOURCES (M) SDN BHD </t>
  </si>
  <si>
    <t>WHM01527</t>
  </si>
  <si>
    <t>PUMS260624-735</t>
  </si>
  <si>
    <t>MR2606.0549</t>
  </si>
  <si>
    <t>11/12</t>
  </si>
  <si>
    <t>CSSI 00002384</t>
  </si>
  <si>
    <t>MARZUKI MAHADI ARCHTECT</t>
  </si>
  <si>
    <t>XVB01260</t>
  </si>
  <si>
    <t>PUMS260624-712</t>
  </si>
  <si>
    <t>MR2606.0596</t>
  </si>
  <si>
    <t>11/36</t>
  </si>
  <si>
    <t>CSSI 00002444</t>
  </si>
  <si>
    <t>CHU &amp; PARTENERS</t>
  </si>
  <si>
    <t>XVB01262</t>
  </si>
  <si>
    <t>PUMS260630-547</t>
  </si>
  <si>
    <t>MR2606.0679</t>
  </si>
  <si>
    <t>10/12</t>
  </si>
  <si>
    <t>CSSI 00002626</t>
  </si>
  <si>
    <t>SM WORLD TOUR &amp; TRAVEL SDN BHD</t>
  </si>
  <si>
    <t>iR-ADV C5535i</t>
  </si>
  <si>
    <t>XZS01894</t>
  </si>
  <si>
    <t>MR-260629-019</t>
  </si>
  <si>
    <t>MR2606.0955</t>
  </si>
  <si>
    <t>12/12</t>
  </si>
  <si>
    <t>4.</t>
  </si>
  <si>
    <t>FOC and rebate</t>
  </si>
  <si>
    <t>CSSI 00002642</t>
  </si>
  <si>
    <t>ASN - JABATAN BELIA &amp; SUKAN JOHOR BAHRU</t>
  </si>
  <si>
    <t>iFORCE C5100</t>
  </si>
  <si>
    <t>4WE02813</t>
  </si>
  <si>
    <t>MR-260606-052</t>
  </si>
  <si>
    <t>MR2606.0304</t>
  </si>
  <si>
    <t>7/36</t>
  </si>
  <si>
    <t>CSSI 00002643</t>
  </si>
  <si>
    <t>IR ADV DX C3935I</t>
  </si>
  <si>
    <t>4LS20298</t>
  </si>
  <si>
    <t>PUMS260624-229</t>
  </si>
  <si>
    <t>MR2606.0307</t>
  </si>
  <si>
    <t>CSSI 00002644</t>
  </si>
  <si>
    <t>ASN - JABATAN BELIA &amp; SUKAN LARKIN</t>
  </si>
  <si>
    <t>4LS20296</t>
  </si>
  <si>
    <t>PUMS260624-230</t>
  </si>
  <si>
    <t>MR2606.0309</t>
  </si>
  <si>
    <t>CSSI 00002645</t>
  </si>
  <si>
    <t>4LS20299</t>
  </si>
  <si>
    <t>PUMS260624-231</t>
  </si>
  <si>
    <t>MR2606.0312</t>
  </si>
  <si>
    <t>CSSI 00002646</t>
  </si>
  <si>
    <t>ASN - JABATAN BELIA &amp; SUKAN PONTIAN</t>
  </si>
  <si>
    <t>4LS20148</t>
  </si>
  <si>
    <t>PUMS260624-232</t>
  </si>
  <si>
    <t>MR2606.0313</t>
  </si>
  <si>
    <t>CSSI 00002647</t>
  </si>
  <si>
    <t>ASN - JABATAN BELIA &amp; SUKAN BATU PAHAT</t>
  </si>
  <si>
    <t>4LS20040</t>
  </si>
  <si>
    <t>PUMS260624-233</t>
  </si>
  <si>
    <t>MR2606.0687</t>
  </si>
  <si>
    <t>CSSI 00002648</t>
  </si>
  <si>
    <t>ASN - JABATAN BELIA &amp; SUKAN MUAR</t>
  </si>
  <si>
    <t>4LS20295</t>
  </si>
  <si>
    <t>PUMS260624-235</t>
  </si>
  <si>
    <t>MR2606.0314</t>
  </si>
  <si>
    <t>CSSI 00002649</t>
  </si>
  <si>
    <t>ASN - JABATAN BELIA &amp; SUKAN KLUANG</t>
  </si>
  <si>
    <t>4LS20291</t>
  </si>
  <si>
    <t>PUMS260624-234</t>
  </si>
  <si>
    <t>MR2606.0315</t>
  </si>
  <si>
    <t>CSSI 00002650</t>
  </si>
  <si>
    <t>ASN - JABATAN BELIA &amp; SUKAN SEGAMAT</t>
  </si>
  <si>
    <t>4LS20297</t>
  </si>
  <si>
    <t>PUMS260624-236</t>
  </si>
  <si>
    <t>MR2606.0316</t>
  </si>
  <si>
    <t>CSSI 00002652</t>
  </si>
  <si>
    <t>ASN - JABATAN BELIA &amp; SUKAN TANGKAK</t>
  </si>
  <si>
    <t>4LS20300</t>
  </si>
  <si>
    <t>PUMS260624-237</t>
  </si>
  <si>
    <t>MR2606.0318</t>
  </si>
  <si>
    <t>CSSI 00002653</t>
  </si>
  <si>
    <t>ASN - JABATAN BELIA &amp; SUKAN KOTA TINGGI</t>
  </si>
  <si>
    <t>4LS20301</t>
  </si>
  <si>
    <t>PUMS260624-238</t>
  </si>
  <si>
    <t>MR2606.0324</t>
  </si>
  <si>
    <t>CSSI 00002654</t>
  </si>
  <si>
    <t>4LS20302</t>
  </si>
  <si>
    <t>PUMS260624-239</t>
  </si>
  <si>
    <t>MR2606.0325</t>
  </si>
  <si>
    <t>CSSI 00002655</t>
  </si>
  <si>
    <t>ASN - JABATAN BELIA &amp; SUKAN MERSING</t>
  </si>
  <si>
    <t>4LS20303</t>
  </si>
  <si>
    <t>PUMS260624-240</t>
  </si>
  <si>
    <t>MR2606.0326</t>
  </si>
  <si>
    <t>CSSI 00002668</t>
  </si>
  <si>
    <t>2KF02297</t>
  </si>
  <si>
    <t>PUMS260624-241</t>
  </si>
  <si>
    <t>MR2606.0337</t>
  </si>
  <si>
    <t>5.</t>
  </si>
  <si>
    <t>Initial Meter</t>
  </si>
  <si>
    <t>CSSI 00002345</t>
  </si>
  <si>
    <t>ASN - JKR MELAKA_KEM SUG UDANG</t>
  </si>
  <si>
    <t>IRADV DX 4925I</t>
  </si>
  <si>
    <t>4PQ20111</t>
  </si>
  <si>
    <t>PUMS260624-190</t>
  </si>
  <si>
    <t>MR2606.0619</t>
  </si>
  <si>
    <t>CSSI 00002695</t>
  </si>
  <si>
    <t>ASN - JABATAN KETUA MENTERI MELAKA (JKMM) BAHAGIAN PEMANTAUAN DAN PELAKSANAAN NEGERI MELAKA(MIMO)</t>
  </si>
  <si>
    <t>IRADV DX 4935I</t>
  </si>
  <si>
    <t>4PE20312</t>
  </si>
  <si>
    <t>PUMS260619-64</t>
  </si>
  <si>
    <t>MR2606.0377</t>
  </si>
  <si>
    <t>6/36</t>
  </si>
  <si>
    <t>6.</t>
  </si>
  <si>
    <t>Single Limit and Group Limit</t>
  </si>
  <si>
    <t>Group Net usage BK</t>
  </si>
  <si>
    <t>Group Net usage CL</t>
  </si>
  <si>
    <t>CSSI 00002504.01</t>
  </si>
  <si>
    <t>SKY ACTIVE - PPD ALOR GAJAH - BILIK UTILITI</t>
  </si>
  <si>
    <t>4LS03669</t>
  </si>
  <si>
    <t>PUMS260624-953</t>
  </si>
  <si>
    <t>CSSI 00002504</t>
  </si>
  <si>
    <t>9/36</t>
  </si>
  <si>
    <t>CSSI 00002504.02</t>
  </si>
  <si>
    <t>SKY ACTIVE - PPD ALOR GAJAH - BPK</t>
  </si>
  <si>
    <t>4PE20217</t>
  </si>
  <si>
    <t>PUMS260624-954</t>
  </si>
  <si>
    <t>CSSI 00002504.03</t>
  </si>
  <si>
    <t>SKY ACTIVE - PPD ALOR GAJAH - KAUNTER UTAMA</t>
  </si>
  <si>
    <t>4PE20232</t>
  </si>
  <si>
    <t>PUMS260624-955</t>
  </si>
  <si>
    <t>CSSI 00002504.04</t>
  </si>
  <si>
    <t>SKY ACTIVE - PPD ALOR GAJAH - RUANG KERJA USTP</t>
  </si>
  <si>
    <t>4PE20219</t>
  </si>
  <si>
    <t>PUMS260624-956</t>
  </si>
  <si>
    <t>CSSI 00002504.05</t>
  </si>
  <si>
    <t xml:space="preserve">SKY ACTIVE - SEKOLAH JENIS KEBANGSAAN (T) PULAU SEBANG </t>
  </si>
  <si>
    <t>4PE20206</t>
  </si>
  <si>
    <t>PUMS260624-959</t>
  </si>
  <si>
    <t>CSSI 00002504.06</t>
  </si>
  <si>
    <t xml:space="preserve">SKY ACTIVE - SEKOLAH KEBANGSAAN PULAU SEBANG </t>
  </si>
  <si>
    <t>4PE20189</t>
  </si>
  <si>
    <t>PUMS260624-960</t>
  </si>
  <si>
    <t>CSSI 00002504.07</t>
  </si>
  <si>
    <t xml:space="preserve">SKY ACTIVE - SEKOLAH KEBANGSAAN PADANG SEBANG </t>
  </si>
  <si>
    <t>4PE20208</t>
  </si>
  <si>
    <t>PUMS260624-961</t>
  </si>
  <si>
    <t>CSSI 00002504.08</t>
  </si>
  <si>
    <t xml:space="preserve">SKY ACTIVE - SEKOLAH KEBANGSAAN HUTAN PERCHA </t>
  </si>
  <si>
    <t>4PE20209</t>
  </si>
  <si>
    <t>MR-260607-201</t>
  </si>
  <si>
    <t>CSSI 00002504.09</t>
  </si>
  <si>
    <t xml:space="preserve">SKY ACTIVE - SEKOLAH KEBANGSAAN KEMUNING </t>
  </si>
  <si>
    <t>4PE20203</t>
  </si>
  <si>
    <t>MR-260629-107</t>
  </si>
  <si>
    <t>CSSI 00002504.10</t>
  </si>
  <si>
    <t xml:space="preserve">SKY ACTIVE - SEKOLAH KEBANGSAAN GANGSA </t>
  </si>
  <si>
    <t>4PE20212</t>
  </si>
  <si>
    <t>PUMS260624-971</t>
  </si>
  <si>
    <t>CSSI 00002504.11</t>
  </si>
  <si>
    <t xml:space="preserve">SKY ACTIVE - SEKOLAH JENIS KEBANGSAAN (C)  SIN WAH </t>
  </si>
  <si>
    <t>4PE20214</t>
  </si>
  <si>
    <t>MR-260607-204</t>
  </si>
  <si>
    <t>CSSI 00002504.12</t>
  </si>
  <si>
    <t xml:space="preserve">SKY ACTIVE - SEKOLAH KEBANGSAAN BELIMBING DALAM </t>
  </si>
  <si>
    <t>4PE20205</t>
  </si>
  <si>
    <t>PUMS260626-896</t>
  </si>
  <si>
    <t>CSSI 00002504.13</t>
  </si>
  <si>
    <t xml:space="preserve">SKY ACTIVE - SEKOLAH KEBANGSAAN PARIT MELANA </t>
  </si>
  <si>
    <t>4PE20196</t>
  </si>
  <si>
    <t>PUMS260624-964</t>
  </si>
  <si>
    <t>CSSI 00002504.14</t>
  </si>
  <si>
    <t xml:space="preserve">SKY ACTIVE - SEKOLAH KEBANGSAAN RUMBIA </t>
  </si>
  <si>
    <t>4PE20198</t>
  </si>
  <si>
    <t>PUMS260624-970</t>
  </si>
  <si>
    <t>CSSI 00002504.15</t>
  </si>
  <si>
    <t xml:space="preserve">SKY ACTIVE - SEKOLAH KEBANGSAAN LENDU </t>
  </si>
  <si>
    <t>4PE20207</t>
  </si>
  <si>
    <t>PUMS260624-969</t>
  </si>
  <si>
    <t>CSSI 00002504.16</t>
  </si>
  <si>
    <t xml:space="preserve">SKY ACTIVE - SEKOLAH KEBANGSAAN DATO NANING </t>
  </si>
  <si>
    <t>4PE20199</t>
  </si>
  <si>
    <t>PUMS260626-899</t>
  </si>
  <si>
    <t>CSSI 00002504.17</t>
  </si>
  <si>
    <t xml:space="preserve">SKY ACTIVE - SEKOLAH KEBANGSAAN ALOR GAJAH 1 </t>
  </si>
  <si>
    <t>4PE20200</t>
  </si>
  <si>
    <t>MR-260607-278</t>
  </si>
  <si>
    <t>CSSI 00002504.18</t>
  </si>
  <si>
    <t xml:space="preserve">SKY ACTIVE - SEKOLAH KEBANGSAAN LESONG BATU </t>
  </si>
  <si>
    <t>4PE20035</t>
  </si>
  <si>
    <t>PUMS260624-968</t>
  </si>
  <si>
    <t>CSSI 00002504.19</t>
  </si>
  <si>
    <t xml:space="preserve">SKY ACTIVE - SEKOLAH KEBANGSAAN DEMANG TAHA </t>
  </si>
  <si>
    <t>4PE20174</t>
  </si>
  <si>
    <t>MR-260607-205</t>
  </si>
  <si>
    <t>CSSI 00002504.20</t>
  </si>
  <si>
    <t xml:space="preserve">SKY ACTIVE - SEKOLAH KEBANGSAAN RAMUAN CHINA BESAR </t>
  </si>
  <si>
    <t>4PE20201</t>
  </si>
  <si>
    <t>MR-260607-206</t>
  </si>
  <si>
    <t>CSSI 00002504.21</t>
  </si>
  <si>
    <t xml:space="preserve">SKY ACTIVE - SEKOLAH KEBANGSAAN AYER LIMAU </t>
  </si>
  <si>
    <t>4PE20024</t>
  </si>
  <si>
    <t>MR-260607-207</t>
  </si>
  <si>
    <t>CSSI 00002504.22</t>
  </si>
  <si>
    <t xml:space="preserve">SKY ACTIVE - SEKOLAH KEBANGSAAN DATUK TAMBICHIK KARIM </t>
  </si>
  <si>
    <t>4PE20030</t>
  </si>
  <si>
    <t>PUMS260624-963</t>
  </si>
  <si>
    <t>CSSI 00002504.23</t>
  </si>
  <si>
    <t xml:space="preserve">SKY ACTIVE - SEKOLAH KEBANGSAAN SRI LAKSAMANA </t>
  </si>
  <si>
    <t>4PE20202</t>
  </si>
  <si>
    <t>MR-260607-208</t>
  </si>
  <si>
    <t>CSSI 00002504.24</t>
  </si>
  <si>
    <t xml:space="preserve">SKY ACTIVE - SEKOLAH KEBANGSAAN PENGKALAN BALAK </t>
  </si>
  <si>
    <t>4PE20186</t>
  </si>
  <si>
    <t>PUMS260624-967</t>
  </si>
  <si>
    <t>CSSI 00002504.25</t>
  </si>
  <si>
    <t xml:space="preserve">SKY ACTIVE - SEKOLAH KEBANGSAAN LUBOK REDAN </t>
  </si>
  <si>
    <t>4PE20034</t>
  </si>
  <si>
    <t>PUMS260624-966</t>
  </si>
  <si>
    <t>CSSI 00002504.26</t>
  </si>
  <si>
    <t xml:space="preserve">SKY ACTIVE - SEKOLAH KEBANGSAAN TELOK BEREMBANG </t>
  </si>
  <si>
    <t>4PE20194</t>
  </si>
  <si>
    <t>PUMS260624-973</t>
  </si>
  <si>
    <t>CSSI 00002504.27</t>
  </si>
  <si>
    <t xml:space="preserve">SKY ACTIVE - SEKOLAH KEBANGSAAN BERISU, </t>
  </si>
  <si>
    <t>4PE20197</t>
  </si>
  <si>
    <t>PUMS260624-972</t>
  </si>
  <si>
    <t>CSSI 00002504.28</t>
  </si>
  <si>
    <t xml:space="preserve">SKY ACTIVE - SEKOLAH KEBANGSAAN OTHMAN SYAWAL </t>
  </si>
  <si>
    <t>4PE20031</t>
  </si>
  <si>
    <t>PUMS260624-965</t>
  </si>
  <si>
    <t>CSSI 00002504.29</t>
  </si>
  <si>
    <t xml:space="preserve">SKY ACTIVE - SEKOLAH KEBANGSAAN SIMPANG EMPAT </t>
  </si>
  <si>
    <t>4PE20215</t>
  </si>
  <si>
    <t>CSSI 00002504.30</t>
  </si>
  <si>
    <t xml:space="preserve">SKY ACTIVE - SEKOLAH KEBANGSAAN CHERANA PUTEH </t>
  </si>
  <si>
    <t>4PE20187</t>
  </si>
  <si>
    <t>PUMS260624-958</t>
  </si>
  <si>
    <t>CSSI 00002504.31</t>
  </si>
  <si>
    <t xml:space="preserve">SKY ACTIVE - SEKOLAH JENIS KEBANGSAAN (T) ALOR GAJAH </t>
  </si>
  <si>
    <t>4PE20190</t>
  </si>
  <si>
    <t>PUMS260624-962</t>
  </si>
  <si>
    <t>CSSI 00002504.32</t>
  </si>
  <si>
    <t>SKY ACTIVE - SEKOLAH KEBANGSAAN ALOR GAJAH 1</t>
  </si>
  <si>
    <t>IR-2925I</t>
  </si>
  <si>
    <t>x4QK00729</t>
  </si>
  <si>
    <t>----</t>
  </si>
  <si>
    <t>CSSI 00002504.C</t>
  </si>
  <si>
    <t>SKY ACTIVE - PPD ALOR GAJAH-COMBINE</t>
  </si>
  <si>
    <t>ATP-INV25/1303</t>
  </si>
  <si>
    <t>CSSI 00002504.R</t>
  </si>
  <si>
    <t>SKY ACTIVE - PPD ALOR GAJAH-RENTAL</t>
  </si>
  <si>
    <t>R067</t>
  </si>
  <si>
    <t>MR2606.0195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</si>
</sst>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sz val="11"/>
      <name val="Arial Narrow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79998168889431442"/>
        <bgColor theme="4"/>
      </patternFill>
    </fill>
    <fill>
      <patternFill patternType="solid">
        <fgColor rgb="FF66FF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theme="4" tint="0.59999389629810485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D393E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B6BF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91">
    <xf numFmtId="0" fontId="0" fillId="0" borderId="0" xfId="0"/>
    <xf numFmtId="0" fontId="2" fillId="0" borderId="0" xfId="0" quotePrefix="1" applyFont="1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164" fontId="2" fillId="2" borderId="0" xfId="1" applyFont="1" applyFill="1"/>
    <xf numFmtId="0" fontId="5" fillId="3" borderId="1" xfId="2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14" fontId="7" fillId="4" borderId="1" xfId="0" applyNumberFormat="1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14" fontId="7" fillId="5" borderId="1" xfId="0" applyNumberFormat="1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14" fontId="6" fillId="3" borderId="1" xfId="0" applyNumberFormat="1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7" borderId="3" xfId="0" applyFont="1" applyFill="1" applyBorder="1" applyAlignment="1">
      <alignment vertical="top"/>
    </xf>
    <xf numFmtId="0" fontId="2" fillId="8" borderId="3" xfId="0" applyFont="1" applyFill="1" applyBorder="1" applyAlignment="1">
      <alignment vertical="top"/>
    </xf>
    <xf numFmtId="0" fontId="2" fillId="7" borderId="3" xfId="0" applyFont="1" applyFill="1" applyBorder="1"/>
    <xf numFmtId="0" fontId="2" fillId="0" borderId="0" xfId="0" applyFont="1" applyAlignment="1">
      <alignment vertical="top"/>
    </xf>
    <xf numFmtId="14" fontId="8" fillId="4" borderId="0" xfId="0" applyNumberFormat="1" applyFont="1" applyFill="1"/>
    <xf numFmtId="0" fontId="8" fillId="4" borderId="0" xfId="0" applyFont="1" applyFill="1"/>
    <xf numFmtId="14" fontId="8" fillId="5" borderId="0" xfId="0" applyNumberFormat="1" applyFont="1" applyFill="1"/>
    <xf numFmtId="0" fontId="8" fillId="5" borderId="0" xfId="0" applyFont="1" applyFill="1"/>
    <xf numFmtId="0" fontId="2" fillId="6" borderId="3" xfId="0" applyFont="1" applyFill="1" applyBorder="1"/>
    <xf numFmtId="0" fontId="2" fillId="9" borderId="3" xfId="0" applyFont="1" applyFill="1" applyBorder="1" applyAlignment="1">
      <alignment horizontal="left" vertical="top"/>
    </xf>
    <xf numFmtId="14" fontId="2" fillId="7" borderId="3" xfId="0" applyNumberFormat="1" applyFont="1" applyFill="1" applyBorder="1"/>
    <xf numFmtId="0" fontId="2" fillId="10" borderId="2" xfId="0" applyFont="1" applyFill="1" applyBorder="1" applyAlignment="1">
      <alignment vertical="top"/>
    </xf>
    <xf numFmtId="0" fontId="2" fillId="10" borderId="3" xfId="0" applyFont="1" applyFill="1" applyBorder="1" applyAlignment="1">
      <alignment vertical="top"/>
    </xf>
    <xf numFmtId="0" fontId="2" fillId="10" borderId="3" xfId="0" applyFont="1" applyFill="1" applyBorder="1"/>
    <xf numFmtId="0" fontId="2" fillId="11" borderId="3" xfId="0" applyFont="1" applyFill="1" applyBorder="1" applyAlignment="1">
      <alignment horizontal="left" vertical="top"/>
    </xf>
    <xf numFmtId="14" fontId="2" fillId="10" borderId="3" xfId="0" applyNumberFormat="1" applyFont="1" applyFill="1" applyBorder="1"/>
    <xf numFmtId="0" fontId="2" fillId="12" borderId="3" xfId="0" applyFont="1" applyFill="1" applyBorder="1" applyAlignment="1">
      <alignment horizontal="left" vertical="top"/>
    </xf>
    <xf numFmtId="0" fontId="2" fillId="13" borderId="3" xfId="0" applyFont="1" applyFill="1" applyBorder="1" applyAlignment="1">
      <alignment horizontal="left" vertical="top"/>
    </xf>
    <xf numFmtId="0" fontId="2" fillId="14" borderId="3" xfId="0" applyFont="1" applyFill="1" applyBorder="1" applyAlignment="1">
      <alignment horizontal="left" vertical="top"/>
    </xf>
    <xf numFmtId="0" fontId="2" fillId="15" borderId="3" xfId="0" applyFont="1" applyFill="1" applyBorder="1" applyAlignment="1">
      <alignment horizontal="left" vertical="top"/>
    </xf>
    <xf numFmtId="0" fontId="2" fillId="16" borderId="3" xfId="0" applyFont="1" applyFill="1" applyBorder="1" applyAlignment="1">
      <alignment vertical="top"/>
    </xf>
    <xf numFmtId="0" fontId="2" fillId="17" borderId="3" xfId="0" applyFont="1" applyFill="1" applyBorder="1" applyAlignment="1">
      <alignment horizontal="left" vertical="top"/>
    </xf>
    <xf numFmtId="0" fontId="2" fillId="10" borderId="3" xfId="0" applyFont="1" applyFill="1" applyBorder="1" applyAlignment="1">
      <alignment horizontal="left" vertical="top"/>
    </xf>
    <xf numFmtId="0" fontId="2" fillId="18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left" vertical="top"/>
    </xf>
    <xf numFmtId="0" fontId="2" fillId="19" borderId="3" xfId="0" applyFont="1" applyFill="1" applyBorder="1" applyAlignment="1">
      <alignment horizontal="left" vertical="top"/>
    </xf>
    <xf numFmtId="14" fontId="2" fillId="2" borderId="0" xfId="1" applyNumberFormat="1" applyFont="1" applyFill="1"/>
    <xf numFmtId="164" fontId="8" fillId="20" borderId="4" xfId="1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left" vertical="top"/>
    </xf>
    <xf numFmtId="0" fontId="2" fillId="22" borderId="3" xfId="0" applyFont="1" applyFill="1" applyBorder="1" applyAlignment="1">
      <alignment horizontal="left" vertical="top"/>
    </xf>
    <xf numFmtId="0" fontId="2" fillId="23" borderId="3" xfId="0" applyFont="1" applyFill="1" applyBorder="1"/>
    <xf numFmtId="0" fontId="5" fillId="7" borderId="3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2" fillId="24" borderId="3" xfId="0" applyFont="1" applyFill="1" applyBorder="1" applyAlignment="1">
      <alignment horizontal="left" vertical="top"/>
    </xf>
    <xf numFmtId="0" fontId="2" fillId="25" borderId="3" xfId="0" applyFont="1" applyFill="1" applyBorder="1" applyAlignment="1">
      <alignment horizontal="left" vertical="top"/>
    </xf>
    <xf numFmtId="0" fontId="2" fillId="18" borderId="3" xfId="0" applyFont="1" applyFill="1" applyBorder="1" applyAlignment="1">
      <alignment horizontal="left" vertical="top"/>
    </xf>
    <xf numFmtId="164" fontId="5" fillId="3" borderId="1" xfId="1" applyFont="1" applyFill="1" applyBorder="1" applyAlignment="1">
      <alignment horizontal="left" vertical="top"/>
    </xf>
    <xf numFmtId="164" fontId="6" fillId="3" borderId="1" xfId="1" applyFont="1" applyFill="1" applyBorder="1" applyAlignment="1">
      <alignment horizontal="left" vertical="top"/>
    </xf>
    <xf numFmtId="14" fontId="7" fillId="4" borderId="1" xfId="1" applyNumberFormat="1" applyFont="1" applyFill="1" applyBorder="1" applyAlignment="1">
      <alignment horizontal="left" vertical="top"/>
    </xf>
    <xf numFmtId="164" fontId="7" fillId="4" borderId="1" xfId="1" applyFont="1" applyFill="1" applyBorder="1" applyAlignment="1">
      <alignment horizontal="left" vertical="top"/>
    </xf>
    <xf numFmtId="164" fontId="7" fillId="5" borderId="1" xfId="1" applyFont="1" applyFill="1" applyBorder="1" applyAlignment="1">
      <alignment horizontal="left" vertical="top"/>
    </xf>
    <xf numFmtId="164" fontId="7" fillId="6" borderId="1" xfId="1" applyFont="1" applyFill="1" applyBorder="1" applyAlignment="1">
      <alignment horizontal="left" vertical="top"/>
    </xf>
    <xf numFmtId="164" fontId="6" fillId="3" borderId="1" xfId="1" applyFont="1" applyFill="1" applyBorder="1" applyAlignment="1">
      <alignment vertical="top"/>
    </xf>
    <xf numFmtId="164" fontId="2" fillId="7" borderId="2" xfId="1" applyFont="1" applyFill="1" applyBorder="1" applyAlignment="1">
      <alignment vertical="top"/>
    </xf>
    <xf numFmtId="164" fontId="2" fillId="7" borderId="3" xfId="1" applyFont="1" applyFill="1" applyBorder="1" applyAlignment="1">
      <alignment vertical="top"/>
    </xf>
    <xf numFmtId="164" fontId="2" fillId="16" borderId="3" xfId="1" applyFont="1" applyFill="1" applyBorder="1" applyAlignment="1">
      <alignment vertical="top"/>
    </xf>
    <xf numFmtId="164" fontId="2" fillId="7" borderId="3" xfId="1" applyFont="1" applyFill="1" applyBorder="1" applyAlignment="1"/>
    <xf numFmtId="164" fontId="2" fillId="0" borderId="0" xfId="1" applyFont="1" applyAlignment="1">
      <alignment vertical="top"/>
    </xf>
    <xf numFmtId="14" fontId="8" fillId="4" borderId="0" xfId="1" applyNumberFormat="1" applyFont="1" applyFill="1" applyAlignment="1"/>
    <xf numFmtId="164" fontId="8" fillId="4" borderId="0" xfId="1" applyFont="1" applyFill="1" applyAlignment="1"/>
    <xf numFmtId="164" fontId="8" fillId="5" borderId="0" xfId="1" applyFont="1" applyFill="1" applyAlignment="1"/>
    <xf numFmtId="164" fontId="2" fillId="6" borderId="3" xfId="1" applyFont="1" applyFill="1" applyBorder="1" applyAlignment="1"/>
    <xf numFmtId="164" fontId="2" fillId="0" borderId="0" xfId="1" applyFont="1" applyAlignment="1"/>
    <xf numFmtId="164" fontId="2" fillId="17" borderId="3" xfId="1" applyFont="1" applyFill="1" applyBorder="1" applyAlignment="1">
      <alignment horizontal="left" vertical="top"/>
    </xf>
    <xf numFmtId="164" fontId="2" fillId="10" borderId="2" xfId="1" applyFont="1" applyFill="1" applyBorder="1" applyAlignment="1">
      <alignment vertical="top"/>
    </xf>
    <xf numFmtId="164" fontId="2" fillId="10" borderId="3" xfId="1" applyFont="1" applyFill="1" applyBorder="1" applyAlignment="1">
      <alignment vertical="top"/>
    </xf>
    <xf numFmtId="164" fontId="2" fillId="10" borderId="3" xfId="1" applyFont="1" applyFill="1" applyBorder="1" applyAlignment="1"/>
    <xf numFmtId="0" fontId="6" fillId="26" borderId="1" xfId="0" applyFont="1" applyFill="1" applyBorder="1" applyAlignment="1">
      <alignment horizontal="left" vertical="top"/>
    </xf>
    <xf numFmtId="0" fontId="2" fillId="27" borderId="3" xfId="0" applyFont="1" applyFill="1" applyBorder="1"/>
    <xf numFmtId="0" fontId="2" fillId="28" borderId="3" xfId="0" applyFont="1" applyFill="1" applyBorder="1"/>
    <xf numFmtId="0" fontId="2" fillId="0" borderId="0" xfId="0" applyFont="1" applyAlignment="1">
      <alignment wrapText="1"/>
    </xf>
    <xf numFmtId="0" fontId="5" fillId="3" borderId="1" xfId="2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14" fontId="7" fillId="4" borderId="1" xfId="0" applyNumberFormat="1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14" fontId="7" fillId="5" borderId="1" xfId="0" applyNumberFormat="1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14" fontId="6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164" fontId="2" fillId="2" borderId="0" xfId="1" applyFont="1" applyFill="1" applyAlignment="1">
      <alignment wrapText="1"/>
    </xf>
    <xf numFmtId="0" fontId="5" fillId="29" borderId="3" xfId="0" applyFont="1" applyFill="1" applyBorder="1" applyAlignment="1">
      <alignment horizontal="center"/>
    </xf>
    <xf numFmtId="164" fontId="2" fillId="6" borderId="3" xfId="0" applyNumberFormat="1" applyFont="1" applyFill="1" applyBorder="1"/>
    <xf numFmtId="164" fontId="2" fillId="30" borderId="0" xfId="1" applyFont="1" applyFill="1"/>
    <xf numFmtId="0" fontId="2" fillId="31" borderId="3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Normal 2" xfId="2" xr:uid="{1DFCFB70-E886-4921-AA32-F26C4E55787C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894F-BFA2-431A-AEFD-FFAC1FC5C5BE}">
  <dimension ref="A1:AY98"/>
  <sheetViews>
    <sheetView tabSelected="1" topLeftCell="A57" zoomScaleNormal="100" workbookViewId="0">
      <selection activeCell="D62" sqref="D62:D92"/>
    </sheetView>
  </sheetViews>
  <sheetFormatPr defaultColWidth="8.85546875" defaultRowHeight="12.75" x14ac:dyDescent="0.2"/>
  <cols>
    <col min="1" max="1" width="3.5703125" style="3" customWidth="1"/>
    <col min="2" max="2" width="26.7109375" style="3" customWidth="1"/>
    <col min="3" max="3" width="8.85546875" style="3"/>
    <col min="4" max="4" width="23" style="3" customWidth="1"/>
    <col min="5" max="5" width="16.140625" style="3" customWidth="1"/>
    <col min="6" max="6" width="20.140625" style="3" bestFit="1" customWidth="1"/>
    <col min="7" max="7" width="9" style="3" customWidth="1"/>
    <col min="8" max="8" width="23.5703125" style="4" customWidth="1"/>
    <col min="9" max="10" width="21.140625" style="3" customWidth="1"/>
    <col min="11" max="11" width="20.140625" style="3" customWidth="1"/>
    <col min="12" max="13" width="14.28515625" style="3" customWidth="1"/>
    <col min="14" max="14" width="15.42578125" style="3" customWidth="1"/>
    <col min="15" max="15" width="15.140625" style="3" customWidth="1"/>
    <col min="16" max="16" width="11.42578125" style="3" customWidth="1"/>
    <col min="17" max="18" width="9.7109375" style="3" customWidth="1"/>
    <col min="19" max="19" width="9.28515625" style="3" customWidth="1"/>
    <col min="20" max="20" width="9.7109375" style="3" customWidth="1"/>
    <col min="21" max="25" width="9.28515625" style="3" customWidth="1"/>
    <col min="26" max="26" width="14.5703125" style="3" customWidth="1"/>
    <col min="27" max="27" width="12.140625" style="3" customWidth="1"/>
    <col min="28" max="28" width="13.5703125" style="3" customWidth="1"/>
    <col min="29" max="29" width="9.28515625" style="3" customWidth="1"/>
    <col min="30" max="30" width="13.28515625" style="3" bestFit="1" customWidth="1"/>
    <col min="31" max="31" width="13.140625" style="3" bestFit="1" customWidth="1"/>
    <col min="32" max="32" width="11.42578125" style="3" customWidth="1"/>
    <col min="33" max="33" width="32" style="3" bestFit="1" customWidth="1"/>
    <col min="34" max="35" width="9.28515625" style="3" customWidth="1"/>
    <col min="36" max="36" width="9.7109375" style="3" customWidth="1"/>
    <col min="37" max="37" width="15.5703125" style="3" bestFit="1" customWidth="1"/>
    <col min="38" max="38" width="15.85546875" style="3" customWidth="1"/>
    <col min="39" max="39" width="15.140625" style="3" bestFit="1" customWidth="1"/>
    <col min="40" max="40" width="16.5703125" style="3" bestFit="1" customWidth="1"/>
    <col min="41" max="43" width="9.42578125" style="3" bestFit="1" customWidth="1"/>
    <col min="44" max="44" width="9" style="3" bestFit="1" customWidth="1"/>
    <col min="45" max="46" width="16" style="5" customWidth="1"/>
    <col min="47" max="47" width="31.140625" style="5" bestFit="1" customWidth="1"/>
    <col min="48" max="48" width="9.42578125" style="5" bestFit="1" customWidth="1"/>
    <col min="49" max="49" width="8.85546875" style="5"/>
    <col min="50" max="16384" width="8.85546875" style="3"/>
  </cols>
  <sheetData>
    <row r="1" spans="1:47" x14ac:dyDescent="0.2">
      <c r="A1" s="1" t="s">
        <v>0</v>
      </c>
      <c r="B1" s="2" t="s">
        <v>1</v>
      </c>
    </row>
    <row r="2" spans="1:47" x14ac:dyDescent="0.2"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10" t="s">
        <v>11</v>
      </c>
      <c r="L2" s="11" t="s">
        <v>12</v>
      </c>
      <c r="M2" s="11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12" t="s">
        <v>26</v>
      </c>
      <c r="AA2" s="12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1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13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5" t="s">
        <v>1</v>
      </c>
      <c r="AT2" s="5" t="s">
        <v>44</v>
      </c>
      <c r="AU2" s="5" t="s">
        <v>45</v>
      </c>
    </row>
    <row r="3" spans="1:47" x14ac:dyDescent="0.2">
      <c r="B3" s="15" t="s">
        <v>46</v>
      </c>
      <c r="C3" s="16" t="s">
        <v>47</v>
      </c>
      <c r="D3" s="17" t="s">
        <v>48</v>
      </c>
      <c r="E3" s="18" t="s">
        <v>49</v>
      </c>
      <c r="F3" s="18" t="s">
        <v>50</v>
      </c>
      <c r="G3" s="19" t="s">
        <v>51</v>
      </c>
      <c r="H3" s="20">
        <v>46192</v>
      </c>
      <c r="I3" s="21">
        <v>74879</v>
      </c>
      <c r="J3" s="21">
        <v>1815</v>
      </c>
      <c r="K3" s="22">
        <v>46163</v>
      </c>
      <c r="L3" s="23">
        <v>72791</v>
      </c>
      <c r="M3" s="23">
        <v>1791</v>
      </c>
      <c r="N3" s="18"/>
      <c r="O3" s="18"/>
      <c r="P3" s="18">
        <v>2088</v>
      </c>
      <c r="Q3" s="18">
        <v>24</v>
      </c>
      <c r="R3" s="18">
        <v>0</v>
      </c>
      <c r="S3" s="18">
        <v>0</v>
      </c>
      <c r="T3" s="18">
        <v>2.5999999999999999E-2</v>
      </c>
      <c r="U3" s="18">
        <v>0.4</v>
      </c>
      <c r="V3" s="18">
        <v>0</v>
      </c>
      <c r="W3" s="18">
        <v>0</v>
      </c>
      <c r="X3" s="18">
        <v>0</v>
      </c>
      <c r="Y3" s="18">
        <v>0</v>
      </c>
      <c r="Z3" s="24">
        <v>2088</v>
      </c>
      <c r="AA3" s="24">
        <v>24</v>
      </c>
      <c r="AB3" s="18">
        <v>54.29</v>
      </c>
      <c r="AC3" s="18">
        <v>9.6</v>
      </c>
      <c r="AD3" s="18">
        <v>150</v>
      </c>
      <c r="AE3" s="18">
        <v>63.89</v>
      </c>
      <c r="AF3" s="3">
        <v>150</v>
      </c>
      <c r="AG3" s="3">
        <v>-10000</v>
      </c>
      <c r="AH3" s="18">
        <v>0</v>
      </c>
      <c r="AI3" s="18">
        <v>0</v>
      </c>
      <c r="AJ3" s="18">
        <v>213.89</v>
      </c>
      <c r="AK3" s="18">
        <v>213.89</v>
      </c>
      <c r="AL3" s="25" t="s">
        <v>52</v>
      </c>
      <c r="AM3" s="18" t="s">
        <v>46</v>
      </c>
      <c r="AN3" s="26">
        <v>44713</v>
      </c>
      <c r="AO3" s="18">
        <v>1</v>
      </c>
      <c r="AP3" s="18">
        <v>50</v>
      </c>
      <c r="AQ3" s="18">
        <v>60</v>
      </c>
      <c r="AR3" s="18" t="s">
        <v>53</v>
      </c>
      <c r="AT3" s="5">
        <v>10000</v>
      </c>
    </row>
    <row r="4" spans="1:47" x14ac:dyDescent="0.2">
      <c r="B4" s="27" t="s">
        <v>54</v>
      </c>
      <c r="C4" s="28" t="s">
        <v>47</v>
      </c>
      <c r="D4" s="17" t="s">
        <v>55</v>
      </c>
      <c r="E4" s="29" t="s">
        <v>49</v>
      </c>
      <c r="F4" s="29" t="s">
        <v>56</v>
      </c>
      <c r="G4" s="19" t="s">
        <v>57</v>
      </c>
      <c r="H4" s="20">
        <v>46195</v>
      </c>
      <c r="I4" s="21">
        <v>135711</v>
      </c>
      <c r="J4" s="21">
        <v>31942</v>
      </c>
      <c r="K4" s="22">
        <v>46167</v>
      </c>
      <c r="L4" s="23">
        <v>131104</v>
      </c>
      <c r="M4" s="23">
        <v>31754</v>
      </c>
      <c r="N4" s="29"/>
      <c r="O4" s="29"/>
      <c r="P4" s="29">
        <v>4607</v>
      </c>
      <c r="Q4" s="29">
        <v>188</v>
      </c>
      <c r="R4" s="29">
        <v>0</v>
      </c>
      <c r="S4" s="29">
        <v>0</v>
      </c>
      <c r="T4" s="29">
        <v>2.5999999999999999E-2</v>
      </c>
      <c r="U4" s="29">
        <v>0.4</v>
      </c>
      <c r="V4" s="29">
        <v>0</v>
      </c>
      <c r="W4" s="29">
        <v>0</v>
      </c>
      <c r="X4" s="29">
        <v>0</v>
      </c>
      <c r="Y4" s="29">
        <v>0</v>
      </c>
      <c r="Z4" s="24">
        <v>4607</v>
      </c>
      <c r="AA4" s="24">
        <v>188</v>
      </c>
      <c r="AB4" s="29">
        <v>119.78</v>
      </c>
      <c r="AC4" s="29">
        <v>75.2</v>
      </c>
      <c r="AD4" s="29">
        <v>150</v>
      </c>
      <c r="AE4" s="29">
        <v>194.98000000000002</v>
      </c>
      <c r="AF4" s="3">
        <v>150</v>
      </c>
      <c r="AG4" s="3">
        <v>-10000</v>
      </c>
      <c r="AH4" s="29">
        <v>0</v>
      </c>
      <c r="AI4" s="29">
        <v>0</v>
      </c>
      <c r="AJ4" s="29">
        <v>344.98</v>
      </c>
      <c r="AK4" s="29">
        <v>344.98</v>
      </c>
      <c r="AL4" s="30" t="s">
        <v>58</v>
      </c>
      <c r="AM4" s="29" t="s">
        <v>54</v>
      </c>
      <c r="AN4" s="31">
        <v>44757</v>
      </c>
      <c r="AO4" s="29">
        <v>15</v>
      </c>
      <c r="AP4" s="29">
        <v>49</v>
      </c>
      <c r="AQ4" s="29">
        <v>60</v>
      </c>
      <c r="AR4" s="29" t="s">
        <v>59</v>
      </c>
      <c r="AT4" s="5">
        <v>10000</v>
      </c>
    </row>
    <row r="5" spans="1:47" x14ac:dyDescent="0.2">
      <c r="B5" s="15" t="s">
        <v>60</v>
      </c>
      <c r="C5" s="16" t="s">
        <v>47</v>
      </c>
      <c r="D5" s="17" t="s">
        <v>61</v>
      </c>
      <c r="E5" s="18" t="s">
        <v>49</v>
      </c>
      <c r="F5" s="18" t="s">
        <v>62</v>
      </c>
      <c r="G5" s="19" t="s">
        <v>63</v>
      </c>
      <c r="H5" s="20">
        <v>46192</v>
      </c>
      <c r="I5" s="21">
        <v>239487</v>
      </c>
      <c r="J5" s="21">
        <v>12190</v>
      </c>
      <c r="K5" s="22">
        <v>46162</v>
      </c>
      <c r="L5" s="23">
        <v>234475</v>
      </c>
      <c r="M5" s="23">
        <v>11849</v>
      </c>
      <c r="N5" s="18"/>
      <c r="O5" s="18"/>
      <c r="P5" s="18">
        <v>5012</v>
      </c>
      <c r="Q5" s="18">
        <v>341</v>
      </c>
      <c r="R5" s="18">
        <v>0</v>
      </c>
      <c r="S5" s="18">
        <v>0</v>
      </c>
      <c r="T5" s="18">
        <v>2.5999999999999999E-2</v>
      </c>
      <c r="U5" s="18">
        <v>0.4</v>
      </c>
      <c r="V5" s="18">
        <v>0</v>
      </c>
      <c r="W5" s="18">
        <v>0</v>
      </c>
      <c r="X5" s="18">
        <v>0</v>
      </c>
      <c r="Y5" s="18">
        <v>0</v>
      </c>
      <c r="Z5" s="24">
        <v>5012</v>
      </c>
      <c r="AA5" s="24">
        <v>341</v>
      </c>
      <c r="AB5" s="18">
        <v>130.31</v>
      </c>
      <c r="AC5" s="18">
        <v>136.4</v>
      </c>
      <c r="AD5" s="18">
        <v>150</v>
      </c>
      <c r="AE5" s="18">
        <v>266.70999999999998</v>
      </c>
      <c r="AF5" s="3">
        <v>150</v>
      </c>
      <c r="AG5" s="3">
        <v>-10000</v>
      </c>
      <c r="AH5" s="18">
        <v>0</v>
      </c>
      <c r="AI5" s="18">
        <v>0</v>
      </c>
      <c r="AJ5" s="18">
        <v>416.71000000000004</v>
      </c>
      <c r="AK5" s="18">
        <v>416.71000000000004</v>
      </c>
      <c r="AL5" s="32" t="s">
        <v>64</v>
      </c>
      <c r="AM5" s="18" t="s">
        <v>60</v>
      </c>
      <c r="AN5" s="26">
        <v>44896</v>
      </c>
      <c r="AO5" s="18">
        <v>1</v>
      </c>
      <c r="AP5" s="18">
        <v>44</v>
      </c>
      <c r="AQ5" s="18">
        <v>60</v>
      </c>
      <c r="AR5" s="18" t="s">
        <v>65</v>
      </c>
      <c r="AT5" s="5">
        <v>10000</v>
      </c>
    </row>
    <row r="6" spans="1:47" x14ac:dyDescent="0.2">
      <c r="B6" s="27" t="s">
        <v>66</v>
      </c>
      <c r="C6" s="28" t="s">
        <v>47</v>
      </c>
      <c r="D6" s="17" t="s">
        <v>61</v>
      </c>
      <c r="E6" s="29" t="s">
        <v>67</v>
      </c>
      <c r="F6" s="29" t="s">
        <v>68</v>
      </c>
      <c r="G6" s="19" t="s">
        <v>69</v>
      </c>
      <c r="H6" s="20">
        <v>46192</v>
      </c>
      <c r="I6" s="21">
        <v>373578</v>
      </c>
      <c r="J6" s="21">
        <v>14043</v>
      </c>
      <c r="K6" s="22">
        <v>46162</v>
      </c>
      <c r="L6" s="23">
        <v>366375</v>
      </c>
      <c r="M6" s="23">
        <v>13906</v>
      </c>
      <c r="N6" s="29"/>
      <c r="O6" s="29"/>
      <c r="P6" s="29">
        <v>7203</v>
      </c>
      <c r="Q6" s="29">
        <v>137</v>
      </c>
      <c r="R6" s="29">
        <v>0</v>
      </c>
      <c r="S6" s="29">
        <v>0</v>
      </c>
      <c r="T6" s="29">
        <v>2.5999999999999999E-2</v>
      </c>
      <c r="U6" s="29">
        <v>0.4</v>
      </c>
      <c r="V6" s="29">
        <v>0</v>
      </c>
      <c r="W6" s="29">
        <v>0</v>
      </c>
      <c r="X6" s="29">
        <v>0</v>
      </c>
      <c r="Y6" s="29">
        <v>0</v>
      </c>
      <c r="Z6" s="24">
        <v>7203</v>
      </c>
      <c r="AA6" s="24">
        <v>137</v>
      </c>
      <c r="AB6" s="29">
        <v>187.28</v>
      </c>
      <c r="AC6" s="29">
        <v>54.8</v>
      </c>
      <c r="AD6" s="29">
        <v>150</v>
      </c>
      <c r="AE6" s="29">
        <v>242.07999999999998</v>
      </c>
      <c r="AF6" s="3">
        <v>150</v>
      </c>
      <c r="AG6" s="3">
        <v>-10000</v>
      </c>
      <c r="AH6" s="29">
        <v>0</v>
      </c>
      <c r="AI6" s="29">
        <v>0</v>
      </c>
      <c r="AJ6" s="29">
        <v>392.08</v>
      </c>
      <c r="AK6" s="29">
        <v>392.08</v>
      </c>
      <c r="AL6" s="32" t="s">
        <v>70</v>
      </c>
      <c r="AM6" s="29" t="s">
        <v>66</v>
      </c>
      <c r="AN6" s="31">
        <v>45231</v>
      </c>
      <c r="AO6" s="29">
        <v>1</v>
      </c>
      <c r="AP6" s="29">
        <v>33</v>
      </c>
      <c r="AQ6" s="29">
        <v>60</v>
      </c>
      <c r="AR6" s="29" t="s">
        <v>71</v>
      </c>
      <c r="AT6" s="5">
        <v>10000</v>
      </c>
    </row>
    <row r="7" spans="1:47" x14ac:dyDescent="0.2">
      <c r="B7" s="15" t="s">
        <v>72</v>
      </c>
      <c r="C7" s="16" t="s">
        <v>47</v>
      </c>
      <c r="D7" s="17" t="s">
        <v>73</v>
      </c>
      <c r="E7" s="18" t="s">
        <v>67</v>
      </c>
      <c r="F7" s="18" t="s">
        <v>74</v>
      </c>
      <c r="G7" s="19" t="s">
        <v>75</v>
      </c>
      <c r="H7" s="20">
        <v>46195</v>
      </c>
      <c r="I7" s="21">
        <v>267602</v>
      </c>
      <c r="J7" s="21">
        <v>10982</v>
      </c>
      <c r="K7" s="22">
        <v>46167</v>
      </c>
      <c r="L7" s="23">
        <v>251632</v>
      </c>
      <c r="M7" s="23">
        <v>10610</v>
      </c>
      <c r="N7" s="18"/>
      <c r="O7" s="18"/>
      <c r="P7" s="18">
        <v>15970</v>
      </c>
      <c r="Q7" s="18">
        <v>372</v>
      </c>
      <c r="R7" s="18">
        <v>0</v>
      </c>
      <c r="S7" s="18">
        <v>0</v>
      </c>
      <c r="T7" s="18">
        <v>2.5999999999999999E-2</v>
      </c>
      <c r="U7" s="18">
        <v>0.4</v>
      </c>
      <c r="V7" s="18">
        <v>0</v>
      </c>
      <c r="W7" s="18">
        <v>0</v>
      </c>
      <c r="X7" s="18">
        <v>0</v>
      </c>
      <c r="Y7" s="18">
        <v>0</v>
      </c>
      <c r="Z7" s="24">
        <v>15970</v>
      </c>
      <c r="AA7" s="24">
        <v>372</v>
      </c>
      <c r="AB7" s="18">
        <v>415.22</v>
      </c>
      <c r="AC7" s="18">
        <v>148.80000000000001</v>
      </c>
      <c r="AD7" s="18">
        <v>150</v>
      </c>
      <c r="AE7" s="18">
        <v>564.02</v>
      </c>
      <c r="AF7" s="3">
        <v>0</v>
      </c>
      <c r="AG7" s="3">
        <v>-10000</v>
      </c>
      <c r="AH7" s="18">
        <v>0</v>
      </c>
      <c r="AI7" s="18">
        <v>0</v>
      </c>
      <c r="AJ7" s="18">
        <v>564.02</v>
      </c>
      <c r="AK7" s="18">
        <v>564.02</v>
      </c>
      <c r="AL7" s="30" t="s">
        <v>76</v>
      </c>
      <c r="AM7" s="18" t="s">
        <v>72</v>
      </c>
      <c r="AN7" s="26">
        <v>45292</v>
      </c>
      <c r="AO7" s="18">
        <v>1</v>
      </c>
      <c r="AP7" s="18">
        <v>31</v>
      </c>
      <c r="AQ7" s="18">
        <v>60</v>
      </c>
      <c r="AR7" s="18" t="s">
        <v>77</v>
      </c>
      <c r="AT7" s="5">
        <v>10000</v>
      </c>
    </row>
    <row r="8" spans="1:47" x14ac:dyDescent="0.2">
      <c r="B8" s="27" t="s">
        <v>78</v>
      </c>
      <c r="C8" s="28" t="s">
        <v>47</v>
      </c>
      <c r="D8" s="28" t="s">
        <v>79</v>
      </c>
      <c r="E8" s="29" t="s">
        <v>80</v>
      </c>
      <c r="F8" s="29" t="s">
        <v>81</v>
      </c>
      <c r="G8" s="19" t="s">
        <v>82</v>
      </c>
      <c r="H8" s="20">
        <v>46195</v>
      </c>
      <c r="I8" s="21">
        <v>222309</v>
      </c>
      <c r="J8" s="21">
        <v>42236</v>
      </c>
      <c r="K8" s="22">
        <v>46168</v>
      </c>
      <c r="L8" s="23">
        <v>217852</v>
      </c>
      <c r="M8" s="23">
        <v>41332</v>
      </c>
      <c r="N8" s="29"/>
      <c r="O8" s="29"/>
      <c r="P8" s="29">
        <v>4457</v>
      </c>
      <c r="Q8" s="29">
        <v>904</v>
      </c>
      <c r="R8" s="29">
        <v>0</v>
      </c>
      <c r="S8" s="29">
        <v>0</v>
      </c>
      <c r="T8" s="29">
        <v>0.03</v>
      </c>
      <c r="U8" s="29">
        <v>0.4</v>
      </c>
      <c r="V8" s="29">
        <v>133</v>
      </c>
      <c r="W8" s="29">
        <v>27</v>
      </c>
      <c r="X8" s="29">
        <v>0.03</v>
      </c>
      <c r="Y8" s="29">
        <v>0.03</v>
      </c>
      <c r="Z8" s="24">
        <v>4324</v>
      </c>
      <c r="AA8" s="24">
        <v>877</v>
      </c>
      <c r="AB8" s="29">
        <v>129.72</v>
      </c>
      <c r="AC8" s="29">
        <v>350.8</v>
      </c>
      <c r="AD8" s="29">
        <v>150</v>
      </c>
      <c r="AE8" s="29">
        <v>480.52</v>
      </c>
      <c r="AF8" s="3">
        <v>150</v>
      </c>
      <c r="AG8" s="3">
        <v>500</v>
      </c>
      <c r="AH8" s="29">
        <v>0</v>
      </c>
      <c r="AI8" s="29">
        <v>0</v>
      </c>
      <c r="AJ8" s="29">
        <v>630.52</v>
      </c>
      <c r="AK8" s="29">
        <v>630.52</v>
      </c>
      <c r="AL8" s="33" t="s">
        <v>83</v>
      </c>
      <c r="AM8" s="29" t="s">
        <v>78</v>
      </c>
      <c r="AN8" s="31">
        <v>45383</v>
      </c>
      <c r="AO8" s="29">
        <v>1</v>
      </c>
      <c r="AP8" s="29">
        <v>28</v>
      </c>
      <c r="AQ8" s="29">
        <v>60</v>
      </c>
      <c r="AR8" s="29" t="s">
        <v>84</v>
      </c>
      <c r="AS8" s="5">
        <v>500</v>
      </c>
    </row>
    <row r="9" spans="1:47" x14ac:dyDescent="0.2">
      <c r="B9" s="15" t="s">
        <v>85</v>
      </c>
      <c r="C9" s="16" t="s">
        <v>47</v>
      </c>
      <c r="D9" s="16" t="s">
        <v>86</v>
      </c>
      <c r="E9" s="18" t="s">
        <v>80</v>
      </c>
      <c r="F9" s="18" t="s">
        <v>87</v>
      </c>
      <c r="G9" s="19" t="s">
        <v>88</v>
      </c>
      <c r="H9" s="20">
        <v>46197</v>
      </c>
      <c r="I9" s="21">
        <v>97180</v>
      </c>
      <c r="J9" s="21">
        <v>108625</v>
      </c>
      <c r="K9" s="22">
        <v>46167</v>
      </c>
      <c r="L9" s="23">
        <v>85742</v>
      </c>
      <c r="M9" s="23">
        <v>97332</v>
      </c>
      <c r="N9" s="18"/>
      <c r="O9" s="18"/>
      <c r="P9" s="18">
        <v>11438</v>
      </c>
      <c r="Q9" s="18">
        <v>11293</v>
      </c>
      <c r="R9" s="18">
        <v>0</v>
      </c>
      <c r="S9" s="18">
        <v>0</v>
      </c>
      <c r="T9" s="18">
        <v>0.02</v>
      </c>
      <c r="U9" s="18">
        <v>0.25</v>
      </c>
      <c r="V9" s="18">
        <v>0</v>
      </c>
      <c r="W9" s="18">
        <v>0</v>
      </c>
      <c r="X9" s="18">
        <v>0</v>
      </c>
      <c r="Y9" s="18">
        <v>0</v>
      </c>
      <c r="Z9" s="24">
        <v>11438</v>
      </c>
      <c r="AA9" s="24">
        <v>11293</v>
      </c>
      <c r="AB9" s="18">
        <v>228.76</v>
      </c>
      <c r="AC9" s="18">
        <v>2823.25</v>
      </c>
      <c r="AD9" s="18">
        <v>0</v>
      </c>
      <c r="AE9" s="18">
        <v>3052.01</v>
      </c>
      <c r="AF9" s="3">
        <v>0</v>
      </c>
      <c r="AG9" s="3">
        <v>400</v>
      </c>
      <c r="AH9" s="18">
        <v>0</v>
      </c>
      <c r="AI9" s="18">
        <v>0</v>
      </c>
      <c r="AJ9" s="18">
        <v>3052.01</v>
      </c>
      <c r="AK9" s="18">
        <v>3052.01</v>
      </c>
      <c r="AL9" s="34" t="s">
        <v>89</v>
      </c>
      <c r="AM9" s="18" t="s">
        <v>85</v>
      </c>
      <c r="AN9" s="26">
        <v>45809</v>
      </c>
      <c r="AO9" s="18">
        <v>1</v>
      </c>
      <c r="AP9" s="18">
        <v>13</v>
      </c>
      <c r="AQ9" s="18">
        <v>24</v>
      </c>
      <c r="AR9" s="18" t="s">
        <v>90</v>
      </c>
      <c r="AS9" s="5">
        <v>400</v>
      </c>
    </row>
    <row r="10" spans="1:47" x14ac:dyDescent="0.2">
      <c r="B10" s="27" t="s">
        <v>91</v>
      </c>
      <c r="C10" s="28" t="s">
        <v>47</v>
      </c>
      <c r="D10" s="28" t="s">
        <v>86</v>
      </c>
      <c r="E10" s="29" t="s">
        <v>92</v>
      </c>
      <c r="F10" s="29" t="s">
        <v>93</v>
      </c>
      <c r="G10" s="19" t="s">
        <v>94</v>
      </c>
      <c r="H10" s="20">
        <v>46197</v>
      </c>
      <c r="I10" s="21">
        <v>49147</v>
      </c>
      <c r="J10" s="21">
        <v>62856</v>
      </c>
      <c r="K10" s="22">
        <v>46167</v>
      </c>
      <c r="L10" s="23">
        <v>44639</v>
      </c>
      <c r="M10" s="23">
        <v>55950</v>
      </c>
      <c r="N10" s="29"/>
      <c r="O10" s="29"/>
      <c r="P10" s="29">
        <v>4508</v>
      </c>
      <c r="Q10" s="29">
        <v>6906</v>
      </c>
      <c r="R10" s="29">
        <v>0</v>
      </c>
      <c r="S10" s="29">
        <v>0</v>
      </c>
      <c r="T10" s="29">
        <v>0.02</v>
      </c>
      <c r="U10" s="29">
        <v>0.25</v>
      </c>
      <c r="V10" s="29">
        <v>0</v>
      </c>
      <c r="W10" s="29">
        <v>0</v>
      </c>
      <c r="X10" s="29">
        <v>0</v>
      </c>
      <c r="Y10" s="29">
        <v>0</v>
      </c>
      <c r="Z10" s="24">
        <v>4508</v>
      </c>
      <c r="AA10" s="24">
        <v>6906</v>
      </c>
      <c r="AB10" s="29">
        <v>90.16</v>
      </c>
      <c r="AC10" s="29">
        <v>1726.5</v>
      </c>
      <c r="AD10" s="29">
        <v>0</v>
      </c>
      <c r="AE10" s="29">
        <v>1816.66</v>
      </c>
      <c r="AF10" s="3">
        <v>0</v>
      </c>
      <c r="AG10" s="3">
        <v>400</v>
      </c>
      <c r="AH10" s="29">
        <v>0</v>
      </c>
      <c r="AI10" s="29">
        <v>0</v>
      </c>
      <c r="AJ10" s="29">
        <v>1816.66</v>
      </c>
      <c r="AK10" s="29">
        <v>1816.66</v>
      </c>
      <c r="AL10" s="35" t="s">
        <v>95</v>
      </c>
      <c r="AM10" s="29" t="s">
        <v>91</v>
      </c>
      <c r="AN10" s="31">
        <v>45839</v>
      </c>
      <c r="AO10" s="29">
        <v>1</v>
      </c>
      <c r="AP10" s="29">
        <v>12</v>
      </c>
      <c r="AQ10" s="29">
        <v>24</v>
      </c>
      <c r="AR10" s="29" t="s">
        <v>96</v>
      </c>
      <c r="AS10" s="5">
        <v>400</v>
      </c>
    </row>
    <row r="11" spans="1:47" x14ac:dyDescent="0.2">
      <c r="B11" s="15" t="s">
        <v>97</v>
      </c>
      <c r="C11" s="16" t="s">
        <v>47</v>
      </c>
      <c r="D11" s="36" t="s">
        <v>79</v>
      </c>
      <c r="E11" s="18" t="s">
        <v>98</v>
      </c>
      <c r="F11" s="18" t="s">
        <v>99</v>
      </c>
      <c r="G11" s="19" t="s">
        <v>100</v>
      </c>
      <c r="H11" s="20">
        <v>46195</v>
      </c>
      <c r="I11" s="21">
        <v>20978</v>
      </c>
      <c r="J11" s="21">
        <v>578</v>
      </c>
      <c r="K11" s="22">
        <v>46167</v>
      </c>
      <c r="L11" s="23">
        <v>17969</v>
      </c>
      <c r="M11" s="23">
        <v>505</v>
      </c>
      <c r="N11" s="18"/>
      <c r="O11" s="18"/>
      <c r="P11" s="18">
        <v>3009</v>
      </c>
      <c r="Q11" s="18">
        <v>73</v>
      </c>
      <c r="R11" s="18">
        <v>0</v>
      </c>
      <c r="S11" s="18">
        <v>0</v>
      </c>
      <c r="T11" s="18">
        <v>0.03</v>
      </c>
      <c r="U11" s="18">
        <v>0.4</v>
      </c>
      <c r="V11" s="18">
        <v>90</v>
      </c>
      <c r="W11" s="18">
        <v>2</v>
      </c>
      <c r="X11" s="18">
        <v>0.03</v>
      </c>
      <c r="Y11" s="18">
        <v>0.03</v>
      </c>
      <c r="Z11" s="24">
        <v>2919</v>
      </c>
      <c r="AA11" s="24">
        <v>71</v>
      </c>
      <c r="AB11" s="18">
        <v>87.57</v>
      </c>
      <c r="AC11" s="18">
        <v>28.4</v>
      </c>
      <c r="AD11" s="18">
        <v>100</v>
      </c>
      <c r="AE11" s="18">
        <v>115.97</v>
      </c>
      <c r="AF11" s="3">
        <v>100</v>
      </c>
      <c r="AG11" s="3">
        <v>500</v>
      </c>
      <c r="AH11" s="18">
        <v>0</v>
      </c>
      <c r="AI11" s="18">
        <v>0</v>
      </c>
      <c r="AJ11" s="18">
        <v>215.97</v>
      </c>
      <c r="AK11" s="18">
        <v>215.97</v>
      </c>
      <c r="AL11" s="37" t="s">
        <v>101</v>
      </c>
      <c r="AM11" s="18" t="s">
        <v>97</v>
      </c>
      <c r="AN11" s="26">
        <v>45992</v>
      </c>
      <c r="AO11" s="18">
        <v>1</v>
      </c>
      <c r="AP11" s="18">
        <v>8</v>
      </c>
      <c r="AQ11" s="18">
        <v>60</v>
      </c>
      <c r="AR11" s="18" t="s">
        <v>102</v>
      </c>
      <c r="AS11" s="5">
        <v>500</v>
      </c>
    </row>
    <row r="12" spans="1:47" x14ac:dyDescent="0.2">
      <c r="B12" s="27" t="s">
        <v>103</v>
      </c>
      <c r="C12" s="28" t="s">
        <v>47</v>
      </c>
      <c r="D12" s="38" t="s">
        <v>104</v>
      </c>
      <c r="E12" s="29" t="s">
        <v>92</v>
      </c>
      <c r="F12" s="29" t="s">
        <v>105</v>
      </c>
      <c r="G12" s="19" t="s">
        <v>106</v>
      </c>
      <c r="H12" s="20">
        <v>46195</v>
      </c>
      <c r="I12" s="21">
        <v>34799</v>
      </c>
      <c r="J12" s="21">
        <v>8233</v>
      </c>
      <c r="K12" s="22">
        <v>46162</v>
      </c>
      <c r="L12" s="23">
        <v>20987</v>
      </c>
      <c r="M12" s="23">
        <v>4614</v>
      </c>
      <c r="N12" s="29"/>
      <c r="O12" s="29"/>
      <c r="P12" s="29">
        <v>13812</v>
      </c>
      <c r="Q12" s="29">
        <v>3619</v>
      </c>
      <c r="R12" s="29">
        <v>0</v>
      </c>
      <c r="S12" s="29">
        <v>0</v>
      </c>
      <c r="T12" s="29">
        <v>2.5000000000000001E-2</v>
      </c>
      <c r="U12" s="29">
        <v>0.3</v>
      </c>
      <c r="V12" s="29">
        <v>0</v>
      </c>
      <c r="W12" s="29">
        <v>0</v>
      </c>
      <c r="X12" s="29">
        <v>0</v>
      </c>
      <c r="Y12" s="29">
        <v>0</v>
      </c>
      <c r="Z12" s="24">
        <v>13812</v>
      </c>
      <c r="AA12" s="24">
        <v>3619</v>
      </c>
      <c r="AB12" s="29">
        <v>345.3</v>
      </c>
      <c r="AC12" s="29">
        <v>1085.7</v>
      </c>
      <c r="AD12" s="29">
        <v>200</v>
      </c>
      <c r="AE12" s="29">
        <v>1431</v>
      </c>
      <c r="AF12" s="3">
        <v>0</v>
      </c>
      <c r="AG12" s="3">
        <v>300</v>
      </c>
      <c r="AH12" s="29">
        <v>0</v>
      </c>
      <c r="AI12" s="29">
        <v>0</v>
      </c>
      <c r="AJ12" s="29">
        <v>1431</v>
      </c>
      <c r="AK12" s="29">
        <v>1431</v>
      </c>
      <c r="AL12" s="39" t="s">
        <v>107</v>
      </c>
      <c r="AM12" s="29" t="s">
        <v>103</v>
      </c>
      <c r="AN12" s="31">
        <v>45078</v>
      </c>
      <c r="AO12" s="29">
        <v>1</v>
      </c>
      <c r="AP12" s="29">
        <v>38</v>
      </c>
      <c r="AQ12" s="29">
        <v>60</v>
      </c>
      <c r="AR12" s="29" t="s">
        <v>108</v>
      </c>
      <c r="AS12" s="5">
        <v>300</v>
      </c>
    </row>
    <row r="13" spans="1:47" x14ac:dyDescent="0.2">
      <c r="B13" s="15" t="s">
        <v>109</v>
      </c>
      <c r="C13" s="16" t="s">
        <v>47</v>
      </c>
      <c r="D13" s="40" t="s">
        <v>110</v>
      </c>
      <c r="E13" s="18" t="s">
        <v>111</v>
      </c>
      <c r="F13" s="18" t="s">
        <v>112</v>
      </c>
      <c r="G13" s="19" t="s">
        <v>113</v>
      </c>
      <c r="H13" s="20">
        <v>46197</v>
      </c>
      <c r="I13" s="21">
        <v>4099</v>
      </c>
      <c r="J13" s="21">
        <v>2583</v>
      </c>
      <c r="K13" s="22">
        <v>46184</v>
      </c>
      <c r="L13" s="23">
        <v>6</v>
      </c>
      <c r="M13" s="23">
        <v>6</v>
      </c>
      <c r="N13" s="18"/>
      <c r="O13" s="18"/>
      <c r="P13" s="18">
        <v>4093</v>
      </c>
      <c r="Q13" s="18">
        <v>2577</v>
      </c>
      <c r="R13" s="18">
        <v>0</v>
      </c>
      <c r="S13" s="18">
        <v>0</v>
      </c>
      <c r="T13" s="18">
        <v>0.03</v>
      </c>
      <c r="U13" s="18">
        <v>0.4</v>
      </c>
      <c r="V13" s="18">
        <v>0</v>
      </c>
      <c r="W13" s="18">
        <v>0</v>
      </c>
      <c r="X13" s="18">
        <v>0</v>
      </c>
      <c r="Y13" s="18">
        <v>0</v>
      </c>
      <c r="Z13" s="24">
        <v>4093</v>
      </c>
      <c r="AA13" s="24">
        <v>2577</v>
      </c>
      <c r="AB13" s="18">
        <v>122.79</v>
      </c>
      <c r="AC13" s="18">
        <v>1030.8</v>
      </c>
      <c r="AD13" s="18">
        <v>50</v>
      </c>
      <c r="AE13" s="18">
        <v>1153.5899999999999</v>
      </c>
      <c r="AF13" s="3">
        <v>0</v>
      </c>
      <c r="AG13" s="3">
        <v>500</v>
      </c>
      <c r="AH13" s="18">
        <v>0</v>
      </c>
      <c r="AI13" s="18">
        <v>0</v>
      </c>
      <c r="AJ13" s="18">
        <v>1153.5899999999999</v>
      </c>
      <c r="AK13" s="18">
        <v>1153.5899999999999</v>
      </c>
      <c r="AL13" s="41" t="s">
        <v>114</v>
      </c>
      <c r="AM13" s="18" t="s">
        <v>109</v>
      </c>
      <c r="AN13" s="26">
        <v>46204</v>
      </c>
      <c r="AO13" s="18">
        <v>1</v>
      </c>
      <c r="AP13" s="18" t="e">
        <v>#NUM!</v>
      </c>
      <c r="AQ13" s="18">
        <v>36</v>
      </c>
      <c r="AR13" s="18" t="e">
        <v>#NUM!</v>
      </c>
      <c r="AS13" s="5">
        <v>500</v>
      </c>
    </row>
    <row r="15" spans="1:47" x14ac:dyDescent="0.2">
      <c r="A15" s="1" t="s">
        <v>115</v>
      </c>
      <c r="B15" s="2" t="s">
        <v>116</v>
      </c>
    </row>
    <row r="16" spans="1:47" x14ac:dyDescent="0.2">
      <c r="B16" s="6" t="s">
        <v>2</v>
      </c>
      <c r="C16" s="6" t="s">
        <v>3</v>
      </c>
      <c r="D16" s="7" t="s">
        <v>4</v>
      </c>
      <c r="E16" s="7" t="s">
        <v>5</v>
      </c>
      <c r="F16" s="7" t="s">
        <v>6</v>
      </c>
      <c r="G16" s="7" t="s">
        <v>7</v>
      </c>
      <c r="H16" s="8" t="s">
        <v>8</v>
      </c>
      <c r="I16" s="9" t="s">
        <v>9</v>
      </c>
      <c r="J16" s="9" t="s">
        <v>10</v>
      </c>
      <c r="K16" s="10" t="s">
        <v>11</v>
      </c>
      <c r="L16" s="11" t="s">
        <v>12</v>
      </c>
      <c r="M16" s="11" t="s">
        <v>13</v>
      </c>
      <c r="N16" s="7" t="s">
        <v>14</v>
      </c>
      <c r="O16" s="7" t="s">
        <v>15</v>
      </c>
      <c r="P16" s="7" t="s">
        <v>16</v>
      </c>
      <c r="Q16" s="7" t="s">
        <v>17</v>
      </c>
      <c r="R16" s="7" t="s">
        <v>18</v>
      </c>
      <c r="S16" s="7" t="s">
        <v>19</v>
      </c>
      <c r="T16" s="7" t="s">
        <v>20</v>
      </c>
      <c r="U16" s="7" t="s">
        <v>21</v>
      </c>
      <c r="V16" s="7" t="s">
        <v>22</v>
      </c>
      <c r="W16" s="7" t="s">
        <v>23</v>
      </c>
      <c r="X16" s="7" t="s">
        <v>24</v>
      </c>
      <c r="Y16" s="7" t="s">
        <v>25</v>
      </c>
      <c r="Z16" s="12" t="s">
        <v>26</v>
      </c>
      <c r="AA16" s="12" t="s">
        <v>27</v>
      </c>
      <c r="AB16" s="7" t="s">
        <v>28</v>
      </c>
      <c r="AC16" s="7" t="s">
        <v>29</v>
      </c>
      <c r="AD16" s="7" t="s">
        <v>30</v>
      </c>
      <c r="AE16" s="7" t="s">
        <v>31</v>
      </c>
      <c r="AF16" s="7" t="s">
        <v>32</v>
      </c>
      <c r="AG16" s="7" t="s">
        <v>1</v>
      </c>
      <c r="AH16" s="7" t="s">
        <v>33</v>
      </c>
      <c r="AI16" s="7" t="s">
        <v>34</v>
      </c>
      <c r="AJ16" s="7" t="s">
        <v>35</v>
      </c>
      <c r="AK16" s="7" t="s">
        <v>36</v>
      </c>
      <c r="AL16" s="7" t="s">
        <v>37</v>
      </c>
      <c r="AM16" s="7" t="s">
        <v>38</v>
      </c>
      <c r="AN16" s="13" t="s">
        <v>39</v>
      </c>
      <c r="AO16" s="14" t="s">
        <v>40</v>
      </c>
      <c r="AP16" s="14" t="s">
        <v>41</v>
      </c>
      <c r="AQ16" s="14" t="s">
        <v>42</v>
      </c>
      <c r="AR16" s="14" t="s">
        <v>43</v>
      </c>
      <c r="AS16" s="5" t="s">
        <v>116</v>
      </c>
    </row>
    <row r="17" spans="1:45" x14ac:dyDescent="0.2">
      <c r="B17" s="15" t="s">
        <v>117</v>
      </c>
      <c r="C17" s="16" t="s">
        <v>47</v>
      </c>
      <c r="D17" s="16" t="s">
        <v>118</v>
      </c>
      <c r="E17" s="18" t="s">
        <v>119</v>
      </c>
      <c r="F17" s="18" t="s">
        <v>120</v>
      </c>
      <c r="G17" s="19" t="s">
        <v>121</v>
      </c>
      <c r="H17" s="20">
        <v>46190</v>
      </c>
      <c r="I17" s="21">
        <v>21165</v>
      </c>
      <c r="J17" s="21">
        <v>0</v>
      </c>
      <c r="K17" s="22">
        <v>46170</v>
      </c>
      <c r="L17" s="23">
        <v>20391</v>
      </c>
      <c r="M17" s="23">
        <v>0</v>
      </c>
      <c r="N17" s="18"/>
      <c r="O17" s="18"/>
      <c r="P17" s="18">
        <v>774</v>
      </c>
      <c r="Q17" s="18">
        <v>0</v>
      </c>
      <c r="R17" s="18">
        <v>0</v>
      </c>
      <c r="S17" s="18">
        <v>0</v>
      </c>
      <c r="T17" s="18">
        <v>0.03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24">
        <v>774</v>
      </c>
      <c r="AA17" s="24">
        <v>0</v>
      </c>
      <c r="AB17" s="18">
        <v>23.22</v>
      </c>
      <c r="AC17" s="18">
        <v>0</v>
      </c>
      <c r="AD17" s="18">
        <v>30</v>
      </c>
      <c r="AE17" s="18">
        <v>23.22</v>
      </c>
      <c r="AF17" s="3">
        <v>30</v>
      </c>
      <c r="AG17" s="3">
        <v>0</v>
      </c>
      <c r="AH17" s="18">
        <v>30</v>
      </c>
      <c r="AI17" s="18">
        <v>0</v>
      </c>
      <c r="AJ17" s="18">
        <v>23.22</v>
      </c>
      <c r="AK17" s="18">
        <v>23.22</v>
      </c>
      <c r="AL17" s="34" t="s">
        <v>122</v>
      </c>
      <c r="AM17" s="18" t="s">
        <v>117</v>
      </c>
      <c r="AN17" s="26">
        <v>45597</v>
      </c>
      <c r="AO17" s="18">
        <v>1</v>
      </c>
      <c r="AP17" s="18">
        <v>21</v>
      </c>
      <c r="AQ17" s="18">
        <v>60</v>
      </c>
      <c r="AR17" s="18" t="s">
        <v>123</v>
      </c>
      <c r="AS17" s="42">
        <v>46326</v>
      </c>
    </row>
    <row r="19" spans="1:45" ht="13.5" thickBot="1" x14ac:dyDescent="0.25">
      <c r="A19" s="1" t="s">
        <v>124</v>
      </c>
      <c r="B19" s="3" t="s">
        <v>34</v>
      </c>
    </row>
    <row r="20" spans="1:45" ht="13.5" thickBot="1" x14ac:dyDescent="0.25">
      <c r="B20" s="6" t="s">
        <v>2</v>
      </c>
      <c r="C20" s="6" t="s">
        <v>3</v>
      </c>
      <c r="D20" s="7" t="s">
        <v>4</v>
      </c>
      <c r="E20" s="7" t="s">
        <v>5</v>
      </c>
      <c r="F20" s="7" t="s">
        <v>6</v>
      </c>
      <c r="G20" s="7" t="s">
        <v>7</v>
      </c>
      <c r="H20" s="8" t="s">
        <v>8</v>
      </c>
      <c r="I20" s="9" t="s">
        <v>9</v>
      </c>
      <c r="J20" s="9" t="s">
        <v>10</v>
      </c>
      <c r="K20" s="10" t="s">
        <v>11</v>
      </c>
      <c r="L20" s="11" t="s">
        <v>12</v>
      </c>
      <c r="M20" s="11" t="s">
        <v>13</v>
      </c>
      <c r="N20" s="7" t="s">
        <v>14</v>
      </c>
      <c r="O20" s="7" t="s">
        <v>15</v>
      </c>
      <c r="P20" s="7" t="s">
        <v>16</v>
      </c>
      <c r="Q20" s="7" t="s">
        <v>17</v>
      </c>
      <c r="R20" s="7" t="s">
        <v>18</v>
      </c>
      <c r="S20" s="7" t="s">
        <v>19</v>
      </c>
      <c r="T20" s="7" t="s">
        <v>20</v>
      </c>
      <c r="U20" s="7" t="s">
        <v>21</v>
      </c>
      <c r="V20" s="7" t="s">
        <v>22</v>
      </c>
      <c r="W20" s="7" t="s">
        <v>23</v>
      </c>
      <c r="X20" s="7" t="s">
        <v>24</v>
      </c>
      <c r="Y20" s="7" t="s">
        <v>25</v>
      </c>
      <c r="Z20" s="12" t="s">
        <v>26</v>
      </c>
      <c r="AA20" s="12" t="s">
        <v>27</v>
      </c>
      <c r="AB20" s="7" t="s">
        <v>28</v>
      </c>
      <c r="AC20" s="7" t="s">
        <v>29</v>
      </c>
      <c r="AD20" s="7" t="s">
        <v>30</v>
      </c>
      <c r="AE20" s="7" t="s">
        <v>31</v>
      </c>
      <c r="AF20" s="7" t="s">
        <v>32</v>
      </c>
      <c r="AG20" s="7" t="s">
        <v>1</v>
      </c>
      <c r="AH20" s="7" t="s">
        <v>33</v>
      </c>
      <c r="AI20" s="7" t="s">
        <v>34</v>
      </c>
      <c r="AJ20" s="7" t="s">
        <v>35</v>
      </c>
      <c r="AK20" s="7" t="s">
        <v>36</v>
      </c>
      <c r="AL20" s="7" t="s">
        <v>37</v>
      </c>
      <c r="AM20" s="7" t="s">
        <v>38</v>
      </c>
      <c r="AN20" s="13" t="s">
        <v>39</v>
      </c>
      <c r="AO20" s="14" t="s">
        <v>40</v>
      </c>
      <c r="AP20" s="14" t="s">
        <v>41</v>
      </c>
      <c r="AQ20" s="14" t="s">
        <v>42</v>
      </c>
      <c r="AR20" s="14" t="s">
        <v>43</v>
      </c>
      <c r="AS20" s="43" t="s">
        <v>34</v>
      </c>
    </row>
    <row r="21" spans="1:45" x14ac:dyDescent="0.2">
      <c r="B21" s="15" t="s">
        <v>125</v>
      </c>
      <c r="C21" s="16" t="s">
        <v>47</v>
      </c>
      <c r="D21" s="16" t="s">
        <v>126</v>
      </c>
      <c r="E21" s="18" t="s">
        <v>127</v>
      </c>
      <c r="F21" s="18" t="s">
        <v>128</v>
      </c>
      <c r="G21" s="19" t="s">
        <v>129</v>
      </c>
      <c r="H21" s="20">
        <v>46195</v>
      </c>
      <c r="I21" s="21">
        <v>85748</v>
      </c>
      <c r="J21" s="21">
        <v>9273</v>
      </c>
      <c r="K21" s="22">
        <v>46167</v>
      </c>
      <c r="L21" s="23">
        <v>84945</v>
      </c>
      <c r="M21" s="23">
        <v>9238</v>
      </c>
      <c r="N21" s="18"/>
      <c r="O21" s="18"/>
      <c r="P21" s="18">
        <v>803</v>
      </c>
      <c r="Q21" s="18">
        <v>35</v>
      </c>
      <c r="R21" s="18">
        <v>0</v>
      </c>
      <c r="S21" s="18">
        <v>0</v>
      </c>
      <c r="T21" s="18">
        <v>0.03</v>
      </c>
      <c r="U21" s="18">
        <v>0.45</v>
      </c>
      <c r="V21" s="18">
        <v>0</v>
      </c>
      <c r="W21" s="18">
        <v>0</v>
      </c>
      <c r="X21" s="18">
        <v>0</v>
      </c>
      <c r="Y21" s="18">
        <v>0</v>
      </c>
      <c r="Z21" s="24">
        <v>803</v>
      </c>
      <c r="AA21" s="24">
        <v>35</v>
      </c>
      <c r="AB21" s="18">
        <v>24.09</v>
      </c>
      <c r="AC21" s="18">
        <v>15.75</v>
      </c>
      <c r="AD21" s="18">
        <v>0</v>
      </c>
      <c r="AE21" s="18">
        <v>39.840000000000003</v>
      </c>
      <c r="AF21" s="3">
        <v>40.159999999999997</v>
      </c>
      <c r="AG21" s="3">
        <v>0</v>
      </c>
      <c r="AH21" s="18">
        <v>0</v>
      </c>
      <c r="AI21" s="18">
        <v>40.159999999999997</v>
      </c>
      <c r="AJ21" s="18">
        <v>80</v>
      </c>
      <c r="AK21" s="18">
        <v>80</v>
      </c>
      <c r="AL21" s="44" t="s">
        <v>130</v>
      </c>
      <c r="AM21" s="18" t="s">
        <v>125</v>
      </c>
      <c r="AN21" s="26">
        <v>46054</v>
      </c>
      <c r="AO21" s="18">
        <v>1</v>
      </c>
      <c r="AP21" s="18">
        <v>5</v>
      </c>
      <c r="AQ21" s="18">
        <v>60</v>
      </c>
      <c r="AR21" s="18" t="s">
        <v>131</v>
      </c>
      <c r="AS21" s="5">
        <v>80</v>
      </c>
    </row>
    <row r="22" spans="1:45" x14ac:dyDescent="0.2">
      <c r="B22" s="27" t="s">
        <v>132</v>
      </c>
      <c r="C22" s="28" t="s">
        <v>47</v>
      </c>
      <c r="D22" s="28" t="s">
        <v>133</v>
      </c>
      <c r="E22" s="29" t="s">
        <v>92</v>
      </c>
      <c r="F22" s="29" t="s">
        <v>134</v>
      </c>
      <c r="G22" s="19" t="s">
        <v>135</v>
      </c>
      <c r="H22" s="20">
        <v>46197</v>
      </c>
      <c r="I22" s="21">
        <v>824344</v>
      </c>
      <c r="J22" s="21">
        <v>3647</v>
      </c>
      <c r="K22" s="22">
        <v>46167</v>
      </c>
      <c r="L22" s="23">
        <v>799862</v>
      </c>
      <c r="M22" s="23">
        <v>3592</v>
      </c>
      <c r="N22" s="29"/>
      <c r="O22" s="29"/>
      <c r="P22" s="29">
        <v>24482</v>
      </c>
      <c r="Q22" s="29">
        <v>55</v>
      </c>
      <c r="R22" s="29">
        <v>0</v>
      </c>
      <c r="S22" s="29">
        <v>0</v>
      </c>
      <c r="T22" s="29">
        <v>2.5000000000000001E-2</v>
      </c>
      <c r="U22" s="29">
        <v>0.35</v>
      </c>
      <c r="V22" s="29">
        <v>0</v>
      </c>
      <c r="W22" s="29">
        <v>0</v>
      </c>
      <c r="X22" s="29">
        <v>0</v>
      </c>
      <c r="Y22" s="29">
        <v>0</v>
      </c>
      <c r="Z22" s="24">
        <v>24482</v>
      </c>
      <c r="AA22" s="24">
        <v>55</v>
      </c>
      <c r="AB22" s="29">
        <v>612.04999999999995</v>
      </c>
      <c r="AC22" s="29">
        <v>19.25</v>
      </c>
      <c r="AD22" s="29">
        <v>0</v>
      </c>
      <c r="AE22" s="29">
        <v>631.29999999999995</v>
      </c>
      <c r="AF22" s="3">
        <v>0</v>
      </c>
      <c r="AG22" s="3">
        <v>0</v>
      </c>
      <c r="AH22" s="29">
        <v>0</v>
      </c>
      <c r="AI22" s="29">
        <v>0</v>
      </c>
      <c r="AJ22" s="29">
        <v>631.29999999999995</v>
      </c>
      <c r="AK22" s="29">
        <v>631.29999999999995</v>
      </c>
      <c r="AL22" s="45" t="s">
        <v>136</v>
      </c>
      <c r="AM22" s="29" t="s">
        <v>132</v>
      </c>
      <c r="AN22" s="31">
        <v>45658</v>
      </c>
      <c r="AO22" s="29">
        <v>1</v>
      </c>
      <c r="AP22" s="29">
        <v>18</v>
      </c>
      <c r="AQ22" s="29">
        <v>24</v>
      </c>
      <c r="AR22" s="29" t="s">
        <v>137</v>
      </c>
      <c r="AS22" s="5">
        <v>200</v>
      </c>
    </row>
    <row r="23" spans="1:45" x14ac:dyDescent="0.2">
      <c r="B23" s="15" t="s">
        <v>138</v>
      </c>
      <c r="C23" s="16" t="s">
        <v>139</v>
      </c>
      <c r="D23" s="36" t="s">
        <v>140</v>
      </c>
      <c r="E23" s="18" t="s">
        <v>141</v>
      </c>
      <c r="F23" s="18" t="s">
        <v>142</v>
      </c>
      <c r="G23" s="19">
        <v>0</v>
      </c>
      <c r="H23" s="20">
        <v>0</v>
      </c>
      <c r="I23" s="21">
        <v>0</v>
      </c>
      <c r="J23" s="21">
        <v>0</v>
      </c>
      <c r="K23" s="22">
        <v>46178</v>
      </c>
      <c r="L23" s="23">
        <v>132967</v>
      </c>
      <c r="M23" s="23">
        <v>39990</v>
      </c>
      <c r="N23" s="46"/>
      <c r="O23" s="46"/>
      <c r="P23" s="18">
        <v>-132967</v>
      </c>
      <c r="Q23" s="18">
        <v>-39990</v>
      </c>
      <c r="R23" s="18">
        <v>0</v>
      </c>
      <c r="S23" s="18">
        <v>0</v>
      </c>
      <c r="T23" s="18">
        <v>2.6599999999999999E-2</v>
      </c>
      <c r="U23" s="18">
        <v>0.38</v>
      </c>
      <c r="V23" s="18">
        <v>0</v>
      </c>
      <c r="W23" s="18">
        <v>0</v>
      </c>
      <c r="X23" s="18">
        <v>0</v>
      </c>
      <c r="Y23" s="18">
        <v>0</v>
      </c>
      <c r="Z23" s="24">
        <v>0</v>
      </c>
      <c r="AA23" s="24">
        <v>0</v>
      </c>
      <c r="AB23" s="18">
        <v>0</v>
      </c>
      <c r="AC23" s="18">
        <v>0</v>
      </c>
      <c r="AD23" s="18">
        <v>0</v>
      </c>
      <c r="AE23" s="18">
        <v>0</v>
      </c>
      <c r="AF23" s="3">
        <v>0</v>
      </c>
      <c r="AG23" s="3">
        <v>0</v>
      </c>
      <c r="AH23" s="18">
        <v>0</v>
      </c>
      <c r="AI23" s="18">
        <v>0</v>
      </c>
      <c r="AJ23" s="18">
        <v>0</v>
      </c>
      <c r="AK23" s="18">
        <v>0</v>
      </c>
      <c r="AL23" s="47" t="s">
        <v>107</v>
      </c>
      <c r="AM23" s="18" t="s">
        <v>143</v>
      </c>
      <c r="AN23" s="26">
        <v>45444</v>
      </c>
      <c r="AO23" s="18">
        <v>1</v>
      </c>
      <c r="AP23" s="18">
        <v>25</v>
      </c>
      <c r="AQ23" s="18">
        <v>24</v>
      </c>
      <c r="AR23" s="18" t="s">
        <v>144</v>
      </c>
      <c r="AS23" s="5">
        <v>0</v>
      </c>
    </row>
    <row r="24" spans="1:45" x14ac:dyDescent="0.2">
      <c r="B24" s="27" t="s">
        <v>145</v>
      </c>
      <c r="C24" s="28" t="s">
        <v>139</v>
      </c>
      <c r="D24" s="36" t="s">
        <v>146</v>
      </c>
      <c r="E24" s="29" t="s">
        <v>141</v>
      </c>
      <c r="F24" s="29" t="s">
        <v>147</v>
      </c>
      <c r="G24" s="19">
        <v>0</v>
      </c>
      <c r="H24" s="20">
        <v>0</v>
      </c>
      <c r="I24" s="21">
        <v>0</v>
      </c>
      <c r="J24" s="21">
        <v>0</v>
      </c>
      <c r="K24" s="22">
        <v>46178</v>
      </c>
      <c r="L24" s="23">
        <v>90852</v>
      </c>
      <c r="M24" s="23">
        <v>24708</v>
      </c>
      <c r="N24" s="46"/>
      <c r="O24" s="46"/>
      <c r="P24" s="29">
        <v>-90852</v>
      </c>
      <c r="Q24" s="29">
        <v>-24708</v>
      </c>
      <c r="R24" s="29">
        <v>0</v>
      </c>
      <c r="S24" s="29">
        <v>0</v>
      </c>
      <c r="T24" s="29">
        <v>2.6599999999999999E-2</v>
      </c>
      <c r="U24" s="29">
        <v>0.38</v>
      </c>
      <c r="V24" s="29">
        <v>0</v>
      </c>
      <c r="W24" s="29">
        <v>0</v>
      </c>
      <c r="X24" s="29">
        <v>0</v>
      </c>
      <c r="Y24" s="29">
        <v>0</v>
      </c>
      <c r="Z24" s="24">
        <v>0</v>
      </c>
      <c r="AA24" s="24">
        <v>0</v>
      </c>
      <c r="AB24" s="29">
        <v>0</v>
      </c>
      <c r="AC24" s="29">
        <v>0</v>
      </c>
      <c r="AD24" s="29">
        <v>0</v>
      </c>
      <c r="AE24" s="29">
        <v>0</v>
      </c>
      <c r="AF24" s="3">
        <v>0</v>
      </c>
      <c r="AG24" s="3">
        <v>0</v>
      </c>
      <c r="AH24" s="29">
        <v>0</v>
      </c>
      <c r="AI24" s="29">
        <v>0</v>
      </c>
      <c r="AJ24" s="29">
        <v>0</v>
      </c>
      <c r="AK24" s="29">
        <v>0</v>
      </c>
      <c r="AL24" s="48" t="s">
        <v>107</v>
      </c>
      <c r="AM24" s="29" t="s">
        <v>143</v>
      </c>
      <c r="AN24" s="31">
        <v>45444</v>
      </c>
      <c r="AO24" s="29">
        <v>1</v>
      </c>
      <c r="AP24" s="29">
        <v>25</v>
      </c>
      <c r="AQ24" s="29">
        <v>24</v>
      </c>
      <c r="AR24" s="29" t="s">
        <v>144</v>
      </c>
      <c r="AS24" s="5">
        <v>0</v>
      </c>
    </row>
    <row r="25" spans="1:45" x14ac:dyDescent="0.2">
      <c r="B25" s="15" t="s">
        <v>148</v>
      </c>
      <c r="C25" s="16" t="s">
        <v>139</v>
      </c>
      <c r="D25" s="36" t="s">
        <v>149</v>
      </c>
      <c r="E25" s="18">
        <v>0</v>
      </c>
      <c r="F25" s="18" t="s">
        <v>150</v>
      </c>
      <c r="G25" s="19" t="s">
        <v>151</v>
      </c>
      <c r="H25" s="20" t="s">
        <v>151</v>
      </c>
      <c r="I25" s="21" t="s">
        <v>151</v>
      </c>
      <c r="J25" s="21" t="s">
        <v>151</v>
      </c>
      <c r="K25" s="22" t="s">
        <v>151</v>
      </c>
      <c r="L25" s="23" t="s">
        <v>151</v>
      </c>
      <c r="M25" s="23" t="s">
        <v>151</v>
      </c>
      <c r="N25" s="46"/>
      <c r="O25" s="46"/>
      <c r="P25" s="18">
        <v>0</v>
      </c>
      <c r="Q25" s="18">
        <v>0</v>
      </c>
      <c r="R25" s="18">
        <v>0</v>
      </c>
      <c r="S25" s="18">
        <v>0</v>
      </c>
      <c r="T25" s="18">
        <v>2.6599999999999999E-2</v>
      </c>
      <c r="U25" s="18">
        <v>0.38</v>
      </c>
      <c r="V25" s="18">
        <v>0</v>
      </c>
      <c r="W25" s="18">
        <v>0</v>
      </c>
      <c r="X25" s="18">
        <v>0</v>
      </c>
      <c r="Y25" s="18">
        <v>0</v>
      </c>
      <c r="Z25" s="24">
        <v>0</v>
      </c>
      <c r="AA25" s="24">
        <v>0</v>
      </c>
      <c r="AB25" s="18">
        <v>0</v>
      </c>
      <c r="AC25" s="18">
        <v>0</v>
      </c>
      <c r="AD25" s="18">
        <v>0</v>
      </c>
      <c r="AE25" s="18">
        <v>0</v>
      </c>
      <c r="AF25" s="3">
        <v>0</v>
      </c>
      <c r="AG25" s="3">
        <v>0</v>
      </c>
      <c r="AH25" s="18">
        <v>0</v>
      </c>
      <c r="AI25" s="18">
        <v>0</v>
      </c>
      <c r="AJ25" s="18">
        <v>0</v>
      </c>
      <c r="AK25" s="18">
        <v>0</v>
      </c>
      <c r="AL25" s="40" t="s">
        <v>151</v>
      </c>
      <c r="AM25" s="18" t="s">
        <v>143</v>
      </c>
      <c r="AN25" s="26">
        <v>45444</v>
      </c>
      <c r="AO25" s="18">
        <v>1</v>
      </c>
      <c r="AP25" s="18">
        <v>25</v>
      </c>
      <c r="AQ25" s="18">
        <v>24</v>
      </c>
      <c r="AR25" s="18" t="s">
        <v>144</v>
      </c>
      <c r="AS25" s="5">
        <v>0</v>
      </c>
    </row>
    <row r="26" spans="1:45" x14ac:dyDescent="0.2">
      <c r="B26" s="27" t="s">
        <v>152</v>
      </c>
      <c r="C26" s="28" t="s">
        <v>139</v>
      </c>
      <c r="D26" s="36" t="s">
        <v>149</v>
      </c>
      <c r="E26" s="29" t="s">
        <v>141</v>
      </c>
      <c r="F26" s="29" t="s">
        <v>153</v>
      </c>
      <c r="G26" s="28" t="s">
        <v>154</v>
      </c>
      <c r="H26" s="20" t="s">
        <v>151</v>
      </c>
      <c r="I26" s="21" t="s">
        <v>151</v>
      </c>
      <c r="J26" s="21" t="s">
        <v>151</v>
      </c>
      <c r="K26" s="22" t="s">
        <v>151</v>
      </c>
      <c r="L26" s="23" t="s">
        <v>151</v>
      </c>
      <c r="M26" s="23" t="s">
        <v>151</v>
      </c>
      <c r="N26" s="29"/>
      <c r="O26" s="29"/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4">
        <v>0</v>
      </c>
      <c r="AA26" s="24">
        <v>0</v>
      </c>
      <c r="AB26" s="29">
        <v>0</v>
      </c>
      <c r="AC26" s="29">
        <v>0</v>
      </c>
      <c r="AD26" s="29">
        <v>2447.1999999999998</v>
      </c>
      <c r="AE26" s="29">
        <v>0</v>
      </c>
      <c r="AF26" s="3">
        <v>2447.1999999999998</v>
      </c>
      <c r="AG26" s="3">
        <v>0</v>
      </c>
      <c r="AH26" s="29">
        <v>0</v>
      </c>
      <c r="AI26" s="29">
        <v>0</v>
      </c>
      <c r="AJ26" s="29">
        <v>2447.1999999999998</v>
      </c>
      <c r="AK26" s="29">
        <v>2447.1999999999998</v>
      </c>
      <c r="AL26" s="38" t="s">
        <v>151</v>
      </c>
      <c r="AM26" s="29" t="s">
        <v>143</v>
      </c>
      <c r="AN26" s="31">
        <v>45444</v>
      </c>
      <c r="AO26" s="29">
        <v>1</v>
      </c>
      <c r="AP26" s="29">
        <v>25</v>
      </c>
      <c r="AQ26" s="29">
        <v>24</v>
      </c>
      <c r="AR26" s="29" t="s">
        <v>144</v>
      </c>
      <c r="AS26" s="5">
        <v>0</v>
      </c>
    </row>
    <row r="27" spans="1:45" x14ac:dyDescent="0.2">
      <c r="B27" s="15" t="s">
        <v>155</v>
      </c>
      <c r="C27" s="16" t="s">
        <v>47</v>
      </c>
      <c r="D27" s="17" t="s">
        <v>156</v>
      </c>
      <c r="E27" s="18">
        <v>0</v>
      </c>
      <c r="F27" s="18" t="s">
        <v>150</v>
      </c>
      <c r="G27" s="16" t="s">
        <v>157</v>
      </c>
      <c r="H27" s="20" t="s">
        <v>151</v>
      </c>
      <c r="I27" s="21" t="s">
        <v>151</v>
      </c>
      <c r="J27" s="21" t="s">
        <v>151</v>
      </c>
      <c r="K27" s="22" t="s">
        <v>151</v>
      </c>
      <c r="L27" s="23" t="s">
        <v>151</v>
      </c>
      <c r="M27" s="23" t="s">
        <v>151</v>
      </c>
      <c r="N27" s="18"/>
      <c r="O27" s="18"/>
      <c r="P27" s="18">
        <v>0</v>
      </c>
      <c r="Q27" s="18">
        <v>0</v>
      </c>
      <c r="R27" s="18">
        <v>0</v>
      </c>
      <c r="S27" s="18">
        <v>0</v>
      </c>
      <c r="T27" s="18">
        <v>2.4500000000000001E-2</v>
      </c>
      <c r="U27" s="18">
        <v>0.32340000000000002</v>
      </c>
      <c r="V27" s="18">
        <v>0</v>
      </c>
      <c r="W27" s="18">
        <v>0</v>
      </c>
      <c r="X27" s="18">
        <v>0</v>
      </c>
      <c r="Y27" s="18">
        <v>0</v>
      </c>
      <c r="Z27" s="24">
        <v>0</v>
      </c>
      <c r="AA27" s="24">
        <v>0</v>
      </c>
      <c r="AB27" s="18">
        <v>0</v>
      </c>
      <c r="AC27" s="18">
        <v>0</v>
      </c>
      <c r="AD27" s="18">
        <v>0</v>
      </c>
      <c r="AE27" s="18">
        <v>0</v>
      </c>
      <c r="AF27" s="3">
        <v>1764</v>
      </c>
      <c r="AG27" s="3">
        <v>0</v>
      </c>
      <c r="AH27" s="18">
        <v>0</v>
      </c>
      <c r="AI27" s="18">
        <v>1764</v>
      </c>
      <c r="AJ27" s="18">
        <v>1764</v>
      </c>
      <c r="AK27" s="18">
        <v>1764</v>
      </c>
      <c r="AL27" s="49" t="s">
        <v>158</v>
      </c>
      <c r="AM27" s="18" t="s">
        <v>159</v>
      </c>
      <c r="AN27" s="26">
        <v>45931</v>
      </c>
      <c r="AO27" s="18">
        <v>1</v>
      </c>
      <c r="AP27" s="18">
        <v>9</v>
      </c>
      <c r="AQ27" s="18">
        <v>12</v>
      </c>
      <c r="AR27" s="18" t="s">
        <v>160</v>
      </c>
      <c r="AS27" s="5">
        <v>1764</v>
      </c>
    </row>
    <row r="28" spans="1:45" x14ac:dyDescent="0.2">
      <c r="B28" s="27" t="s">
        <v>161</v>
      </c>
      <c r="C28" s="28" t="s">
        <v>47</v>
      </c>
      <c r="D28" s="28" t="s">
        <v>133</v>
      </c>
      <c r="E28" s="29" t="s">
        <v>92</v>
      </c>
      <c r="F28" s="29" t="s">
        <v>162</v>
      </c>
      <c r="G28" s="19" t="s">
        <v>163</v>
      </c>
      <c r="H28" s="20">
        <v>46197</v>
      </c>
      <c r="I28" s="21">
        <v>281723</v>
      </c>
      <c r="J28" s="21">
        <v>397</v>
      </c>
      <c r="K28" s="22">
        <v>46165</v>
      </c>
      <c r="L28" s="23">
        <v>265296</v>
      </c>
      <c r="M28" s="23">
        <v>361</v>
      </c>
      <c r="N28" s="29"/>
      <c r="O28" s="29"/>
      <c r="P28" s="29">
        <v>16427</v>
      </c>
      <c r="Q28" s="29">
        <v>36</v>
      </c>
      <c r="R28" s="29">
        <v>0</v>
      </c>
      <c r="S28" s="29">
        <v>0</v>
      </c>
      <c r="T28" s="29">
        <v>2.5000000000000001E-2</v>
      </c>
      <c r="U28" s="29">
        <v>0.33</v>
      </c>
      <c r="V28" s="29">
        <v>0</v>
      </c>
      <c r="W28" s="29">
        <v>0</v>
      </c>
      <c r="X28" s="29">
        <v>0</v>
      </c>
      <c r="Y28" s="29">
        <v>0</v>
      </c>
      <c r="Z28" s="24">
        <v>16427</v>
      </c>
      <c r="AA28" s="24">
        <v>36</v>
      </c>
      <c r="AB28" s="29">
        <v>410.68</v>
      </c>
      <c r="AC28" s="29">
        <v>11.88</v>
      </c>
      <c r="AD28" s="29">
        <v>0</v>
      </c>
      <c r="AE28" s="29">
        <v>422.56</v>
      </c>
      <c r="AF28" s="3">
        <v>0</v>
      </c>
      <c r="AG28" s="3">
        <v>0</v>
      </c>
      <c r="AH28" s="29">
        <v>0</v>
      </c>
      <c r="AI28" s="29">
        <v>0</v>
      </c>
      <c r="AJ28" s="29">
        <v>422.56</v>
      </c>
      <c r="AK28" s="29">
        <v>422.56</v>
      </c>
      <c r="AL28" s="34" t="s">
        <v>164</v>
      </c>
      <c r="AM28" s="29" t="s">
        <v>161</v>
      </c>
      <c r="AN28" s="31">
        <v>45658</v>
      </c>
      <c r="AO28" s="29">
        <v>1</v>
      </c>
      <c r="AP28" s="29">
        <v>18</v>
      </c>
      <c r="AQ28" s="29">
        <v>36</v>
      </c>
      <c r="AR28" s="29" t="s">
        <v>165</v>
      </c>
      <c r="AS28" s="5">
        <v>200</v>
      </c>
    </row>
    <row r="29" spans="1:45" x14ac:dyDescent="0.2">
      <c r="B29" s="15" t="s">
        <v>166</v>
      </c>
      <c r="C29" s="16" t="s">
        <v>47</v>
      </c>
      <c r="D29" s="16" t="s">
        <v>133</v>
      </c>
      <c r="E29" s="18" t="s">
        <v>92</v>
      </c>
      <c r="F29" s="18" t="s">
        <v>167</v>
      </c>
      <c r="G29" s="19" t="s">
        <v>168</v>
      </c>
      <c r="H29" s="20">
        <v>46197</v>
      </c>
      <c r="I29" s="21">
        <v>286868</v>
      </c>
      <c r="J29" s="21">
        <v>470</v>
      </c>
      <c r="K29" s="22">
        <v>46167</v>
      </c>
      <c r="L29" s="23">
        <v>272122</v>
      </c>
      <c r="M29" s="23">
        <v>446</v>
      </c>
      <c r="N29" s="18"/>
      <c r="O29" s="18"/>
      <c r="P29" s="18">
        <v>14746</v>
      </c>
      <c r="Q29" s="18">
        <v>24</v>
      </c>
      <c r="R29" s="18">
        <v>0</v>
      </c>
      <c r="S29" s="18">
        <v>0</v>
      </c>
      <c r="T29" s="18">
        <v>2.5000000000000001E-2</v>
      </c>
      <c r="U29" s="18">
        <v>0.33</v>
      </c>
      <c r="V29" s="18">
        <v>0</v>
      </c>
      <c r="W29" s="18">
        <v>0</v>
      </c>
      <c r="X29" s="18">
        <v>0</v>
      </c>
      <c r="Y29" s="18">
        <v>0</v>
      </c>
      <c r="Z29" s="24">
        <v>14746</v>
      </c>
      <c r="AA29" s="24">
        <v>24</v>
      </c>
      <c r="AB29" s="18">
        <v>368.65</v>
      </c>
      <c r="AC29" s="18">
        <v>7.92</v>
      </c>
      <c r="AD29" s="18">
        <v>0</v>
      </c>
      <c r="AE29" s="18">
        <v>376.57</v>
      </c>
      <c r="AF29" s="3">
        <v>0</v>
      </c>
      <c r="AG29" s="3">
        <v>0</v>
      </c>
      <c r="AH29" s="18">
        <v>0</v>
      </c>
      <c r="AI29" s="18">
        <v>0</v>
      </c>
      <c r="AJ29" s="18">
        <v>376.57</v>
      </c>
      <c r="AK29" s="18">
        <v>376.57</v>
      </c>
      <c r="AL29" s="34" t="s">
        <v>169</v>
      </c>
      <c r="AM29" s="18" t="s">
        <v>166</v>
      </c>
      <c r="AN29" s="26">
        <v>45658</v>
      </c>
      <c r="AO29" s="18">
        <v>1</v>
      </c>
      <c r="AP29" s="18">
        <v>18</v>
      </c>
      <c r="AQ29" s="18">
        <v>36</v>
      </c>
      <c r="AR29" s="18" t="s">
        <v>165</v>
      </c>
      <c r="AS29" s="5">
        <v>200</v>
      </c>
    </row>
    <row r="30" spans="1:45" x14ac:dyDescent="0.2">
      <c r="B30" s="27" t="s">
        <v>170</v>
      </c>
      <c r="C30" s="28" t="s">
        <v>47</v>
      </c>
      <c r="D30" s="28" t="s">
        <v>133</v>
      </c>
      <c r="E30" s="29" t="s">
        <v>92</v>
      </c>
      <c r="F30" s="29" t="s">
        <v>171</v>
      </c>
      <c r="G30" s="19" t="s">
        <v>172</v>
      </c>
      <c r="H30" s="20">
        <v>46197</v>
      </c>
      <c r="I30" s="21">
        <v>118263</v>
      </c>
      <c r="J30" s="21">
        <v>2332</v>
      </c>
      <c r="K30" s="22">
        <v>46167</v>
      </c>
      <c r="L30" s="23">
        <v>109025</v>
      </c>
      <c r="M30" s="23">
        <v>2283</v>
      </c>
      <c r="N30" s="29"/>
      <c r="O30" s="29"/>
      <c r="P30" s="29">
        <v>9238</v>
      </c>
      <c r="Q30" s="29">
        <v>49</v>
      </c>
      <c r="R30" s="29">
        <v>0</v>
      </c>
      <c r="S30" s="29">
        <v>0</v>
      </c>
      <c r="T30" s="29">
        <v>2.5000000000000001E-2</v>
      </c>
      <c r="U30" s="29">
        <v>0.35</v>
      </c>
      <c r="V30" s="29">
        <v>0</v>
      </c>
      <c r="W30" s="29">
        <v>0</v>
      </c>
      <c r="X30" s="29">
        <v>0</v>
      </c>
      <c r="Y30" s="29">
        <v>0</v>
      </c>
      <c r="Z30" s="24">
        <v>9238</v>
      </c>
      <c r="AA30" s="24">
        <v>49</v>
      </c>
      <c r="AB30" s="29">
        <v>230.95</v>
      </c>
      <c r="AC30" s="29">
        <v>17.149999999999999</v>
      </c>
      <c r="AD30" s="29">
        <v>0</v>
      </c>
      <c r="AE30" s="29">
        <v>248.1</v>
      </c>
      <c r="AF30" s="3">
        <v>0</v>
      </c>
      <c r="AG30" s="3">
        <v>0</v>
      </c>
      <c r="AH30" s="29">
        <v>0</v>
      </c>
      <c r="AI30" s="29">
        <v>0</v>
      </c>
      <c r="AJ30" s="29">
        <v>248.1</v>
      </c>
      <c r="AK30" s="29">
        <v>248.1</v>
      </c>
      <c r="AL30" s="35" t="s">
        <v>173</v>
      </c>
      <c r="AM30" s="29" t="s">
        <v>170</v>
      </c>
      <c r="AN30" s="31">
        <v>45839</v>
      </c>
      <c r="AO30" s="29">
        <v>1</v>
      </c>
      <c r="AP30" s="29">
        <v>12</v>
      </c>
      <c r="AQ30" s="29">
        <v>60</v>
      </c>
      <c r="AR30" s="29" t="s">
        <v>174</v>
      </c>
      <c r="AS30" s="5">
        <v>200</v>
      </c>
    </row>
    <row r="31" spans="1:45" x14ac:dyDescent="0.2">
      <c r="B31" s="15" t="s">
        <v>175</v>
      </c>
      <c r="C31" s="16" t="s">
        <v>47</v>
      </c>
      <c r="D31" s="36" t="s">
        <v>176</v>
      </c>
      <c r="E31" s="18" t="s">
        <v>80</v>
      </c>
      <c r="F31" s="18" t="s">
        <v>177</v>
      </c>
      <c r="G31" s="19" t="s">
        <v>178</v>
      </c>
      <c r="H31" s="20">
        <v>46197</v>
      </c>
      <c r="I31" s="21">
        <v>23177</v>
      </c>
      <c r="J31" s="21">
        <v>28663</v>
      </c>
      <c r="K31" s="22">
        <v>46167</v>
      </c>
      <c r="L31" s="23">
        <v>19855</v>
      </c>
      <c r="M31" s="23">
        <v>26125</v>
      </c>
      <c r="N31" s="18"/>
      <c r="O31" s="18"/>
      <c r="P31" s="18">
        <v>3322</v>
      </c>
      <c r="Q31" s="18">
        <v>2538</v>
      </c>
      <c r="R31" s="18">
        <v>0</v>
      </c>
      <c r="S31" s="18">
        <v>0</v>
      </c>
      <c r="T31" s="18">
        <v>0.03</v>
      </c>
      <c r="U31" s="18">
        <v>0.4</v>
      </c>
      <c r="V31" s="18">
        <v>0</v>
      </c>
      <c r="W31" s="18">
        <v>0</v>
      </c>
      <c r="X31" s="18">
        <v>0</v>
      </c>
      <c r="Y31" s="18">
        <v>0</v>
      </c>
      <c r="Z31" s="24">
        <v>3322</v>
      </c>
      <c r="AA31" s="24">
        <v>2538</v>
      </c>
      <c r="AB31" s="18">
        <v>99.66</v>
      </c>
      <c r="AC31" s="18">
        <v>1015.2</v>
      </c>
      <c r="AD31" s="18">
        <v>0</v>
      </c>
      <c r="AE31" s="18">
        <v>1114.8600000000001</v>
      </c>
      <c r="AF31" s="3">
        <v>0</v>
      </c>
      <c r="AG31" s="3">
        <v>0</v>
      </c>
      <c r="AH31" s="18">
        <v>0</v>
      </c>
      <c r="AI31" s="18">
        <v>0</v>
      </c>
      <c r="AJ31" s="18">
        <v>1114.8600000000001</v>
      </c>
      <c r="AK31" s="18">
        <v>1114.8600000000001</v>
      </c>
      <c r="AL31" s="37" t="s">
        <v>179</v>
      </c>
      <c r="AM31" s="18" t="s">
        <v>175</v>
      </c>
      <c r="AN31" s="26">
        <v>45870</v>
      </c>
      <c r="AO31" s="18">
        <v>1</v>
      </c>
      <c r="AP31" s="18">
        <v>11</v>
      </c>
      <c r="AQ31" s="18">
        <v>12</v>
      </c>
      <c r="AR31" s="18" t="s">
        <v>180</v>
      </c>
      <c r="AS31" s="5">
        <v>300</v>
      </c>
    </row>
    <row r="32" spans="1:45" x14ac:dyDescent="0.2">
      <c r="B32" s="27" t="s">
        <v>181</v>
      </c>
      <c r="C32" s="28" t="s">
        <v>47</v>
      </c>
      <c r="D32" s="36" t="s">
        <v>182</v>
      </c>
      <c r="E32" s="29" t="s">
        <v>92</v>
      </c>
      <c r="F32" s="29" t="s">
        <v>183</v>
      </c>
      <c r="G32" s="19" t="s">
        <v>184</v>
      </c>
      <c r="H32" s="20">
        <v>46197</v>
      </c>
      <c r="I32" s="21">
        <v>81736</v>
      </c>
      <c r="J32" s="21">
        <v>7339</v>
      </c>
      <c r="K32" s="22">
        <v>46167</v>
      </c>
      <c r="L32" s="23">
        <v>77501</v>
      </c>
      <c r="M32" s="23">
        <v>6267</v>
      </c>
      <c r="N32" s="29"/>
      <c r="O32" s="29"/>
      <c r="P32" s="29">
        <v>4235</v>
      </c>
      <c r="Q32" s="29">
        <v>1072</v>
      </c>
      <c r="R32" s="29">
        <v>0</v>
      </c>
      <c r="S32" s="29">
        <v>0</v>
      </c>
      <c r="T32" s="29">
        <v>2.5000000000000001E-2</v>
      </c>
      <c r="U32" s="29">
        <v>0.35</v>
      </c>
      <c r="V32" s="29">
        <v>0</v>
      </c>
      <c r="W32" s="29">
        <v>0</v>
      </c>
      <c r="X32" s="29">
        <v>0</v>
      </c>
      <c r="Y32" s="29">
        <v>0</v>
      </c>
      <c r="Z32" s="24">
        <v>4235</v>
      </c>
      <c r="AA32" s="24">
        <v>1072</v>
      </c>
      <c r="AB32" s="29">
        <v>105.88</v>
      </c>
      <c r="AC32" s="29">
        <v>375.2</v>
      </c>
      <c r="AD32" s="29">
        <v>0</v>
      </c>
      <c r="AE32" s="29">
        <v>481.08</v>
      </c>
      <c r="AF32" s="3">
        <v>0</v>
      </c>
      <c r="AG32" s="3">
        <v>0</v>
      </c>
      <c r="AH32" s="29">
        <v>0</v>
      </c>
      <c r="AI32" s="29">
        <v>0</v>
      </c>
      <c r="AJ32" s="29">
        <v>481.08</v>
      </c>
      <c r="AK32" s="29">
        <v>481.08</v>
      </c>
      <c r="AL32" s="37" t="s">
        <v>185</v>
      </c>
      <c r="AM32" s="29" t="s">
        <v>181</v>
      </c>
      <c r="AN32" s="31">
        <v>45901</v>
      </c>
      <c r="AO32" s="29">
        <v>1</v>
      </c>
      <c r="AP32" s="29">
        <v>11</v>
      </c>
      <c r="AQ32" s="29">
        <v>36</v>
      </c>
      <c r="AR32" s="29" t="s">
        <v>186</v>
      </c>
      <c r="AS32" s="5">
        <v>300</v>
      </c>
    </row>
    <row r="33" spans="1:45" x14ac:dyDescent="0.2">
      <c r="B33" s="15" t="s">
        <v>187</v>
      </c>
      <c r="C33" s="16" t="s">
        <v>47</v>
      </c>
      <c r="D33" s="36" t="s">
        <v>188</v>
      </c>
      <c r="E33" s="18" t="s">
        <v>92</v>
      </c>
      <c r="F33" s="18" t="s">
        <v>189</v>
      </c>
      <c r="G33" s="19" t="s">
        <v>190</v>
      </c>
      <c r="H33" s="20">
        <v>46203</v>
      </c>
      <c r="I33" s="21">
        <v>15073</v>
      </c>
      <c r="J33" s="21">
        <v>456</v>
      </c>
      <c r="K33" s="22">
        <v>46165</v>
      </c>
      <c r="L33" s="23">
        <v>14204</v>
      </c>
      <c r="M33" s="23">
        <v>297</v>
      </c>
      <c r="N33" s="18"/>
      <c r="O33" s="18"/>
      <c r="P33" s="18">
        <v>869</v>
      </c>
      <c r="Q33" s="18">
        <v>159</v>
      </c>
      <c r="R33" s="18">
        <v>0</v>
      </c>
      <c r="S33" s="18">
        <v>0</v>
      </c>
      <c r="T33" s="18">
        <v>2.5000000000000001E-2</v>
      </c>
      <c r="U33" s="18">
        <v>0.35</v>
      </c>
      <c r="V33" s="18">
        <v>0</v>
      </c>
      <c r="W33" s="18">
        <v>0</v>
      </c>
      <c r="X33" s="18">
        <v>0</v>
      </c>
      <c r="Y33" s="18">
        <v>0</v>
      </c>
      <c r="Z33" s="24">
        <v>869</v>
      </c>
      <c r="AA33" s="24">
        <v>159</v>
      </c>
      <c r="AB33" s="18">
        <v>21.73</v>
      </c>
      <c r="AC33" s="18">
        <v>55.65</v>
      </c>
      <c r="AD33" s="18">
        <v>0</v>
      </c>
      <c r="AE33" s="18">
        <v>77.38</v>
      </c>
      <c r="AF33" s="3">
        <v>0</v>
      </c>
      <c r="AG33" s="3">
        <v>0</v>
      </c>
      <c r="AH33" s="18">
        <v>0</v>
      </c>
      <c r="AI33" s="18">
        <v>0</v>
      </c>
      <c r="AJ33" s="18">
        <v>77.38</v>
      </c>
      <c r="AK33" s="18">
        <v>77.38</v>
      </c>
      <c r="AL33" s="50" t="s">
        <v>191</v>
      </c>
      <c r="AM33" s="18" t="s">
        <v>187</v>
      </c>
      <c r="AN33" s="26">
        <v>45901</v>
      </c>
      <c r="AO33" s="18">
        <v>1</v>
      </c>
      <c r="AP33" s="18">
        <v>10</v>
      </c>
      <c r="AQ33" s="18">
        <v>12</v>
      </c>
      <c r="AR33" s="18" t="s">
        <v>192</v>
      </c>
      <c r="AS33" s="5">
        <v>30</v>
      </c>
    </row>
    <row r="34" spans="1:45" x14ac:dyDescent="0.2">
      <c r="B34" s="27" t="s">
        <v>193</v>
      </c>
      <c r="C34" s="28" t="s">
        <v>47</v>
      </c>
      <c r="D34" s="36" t="s">
        <v>194</v>
      </c>
      <c r="E34" s="29" t="s">
        <v>195</v>
      </c>
      <c r="F34" s="29" t="s">
        <v>196</v>
      </c>
      <c r="G34" s="19" t="s">
        <v>197</v>
      </c>
      <c r="H34" s="20">
        <v>46202</v>
      </c>
      <c r="I34" s="21">
        <v>7744</v>
      </c>
      <c r="J34" s="21">
        <v>2881</v>
      </c>
      <c r="K34" s="22">
        <v>46167</v>
      </c>
      <c r="L34" s="23">
        <v>7195</v>
      </c>
      <c r="M34" s="23">
        <v>2695</v>
      </c>
      <c r="N34" s="29"/>
      <c r="O34" s="29"/>
      <c r="P34" s="29">
        <v>549</v>
      </c>
      <c r="Q34" s="29">
        <v>186</v>
      </c>
      <c r="R34" s="29">
        <v>0</v>
      </c>
      <c r="S34" s="29">
        <v>0</v>
      </c>
      <c r="T34" s="29">
        <v>0.03</v>
      </c>
      <c r="U34" s="29">
        <v>0.4</v>
      </c>
      <c r="V34" s="29">
        <v>0</v>
      </c>
      <c r="W34" s="29">
        <v>0</v>
      </c>
      <c r="X34" s="29">
        <v>0</v>
      </c>
      <c r="Y34" s="29">
        <v>0</v>
      </c>
      <c r="Z34" s="24">
        <v>549</v>
      </c>
      <c r="AA34" s="24">
        <v>186</v>
      </c>
      <c r="AB34" s="29">
        <v>16.47</v>
      </c>
      <c r="AC34" s="29">
        <v>74.400000000000006</v>
      </c>
      <c r="AD34" s="29">
        <v>0</v>
      </c>
      <c r="AE34" s="29">
        <v>90.87</v>
      </c>
      <c r="AF34" s="3">
        <v>209.13</v>
      </c>
      <c r="AG34" s="3">
        <v>0</v>
      </c>
      <c r="AH34" s="29">
        <v>0</v>
      </c>
      <c r="AI34" s="29">
        <v>209.13</v>
      </c>
      <c r="AJ34" s="29">
        <v>300</v>
      </c>
      <c r="AK34" s="29">
        <v>300</v>
      </c>
      <c r="AL34" s="51" t="s">
        <v>198</v>
      </c>
      <c r="AM34" s="29" t="s">
        <v>193</v>
      </c>
      <c r="AN34" s="31">
        <v>45870</v>
      </c>
      <c r="AO34" s="29">
        <v>1</v>
      </c>
      <c r="AP34" s="29">
        <v>12</v>
      </c>
      <c r="AQ34" s="29">
        <v>12</v>
      </c>
      <c r="AR34" s="29" t="s">
        <v>199</v>
      </c>
      <c r="AS34" s="5">
        <v>300</v>
      </c>
    </row>
    <row r="36" spans="1:45" x14ac:dyDescent="0.2">
      <c r="A36" s="1" t="s">
        <v>200</v>
      </c>
      <c r="B36" s="3" t="s">
        <v>201</v>
      </c>
    </row>
    <row r="37" spans="1:45" x14ac:dyDescent="0.2">
      <c r="B37" s="52" t="s">
        <v>2</v>
      </c>
      <c r="C37" s="52" t="s">
        <v>3</v>
      </c>
      <c r="D37" s="53" t="s">
        <v>4</v>
      </c>
      <c r="E37" s="53" t="s">
        <v>5</v>
      </c>
      <c r="F37" s="53" t="s">
        <v>6</v>
      </c>
      <c r="G37" s="53" t="s">
        <v>7</v>
      </c>
      <c r="H37" s="54" t="s">
        <v>8</v>
      </c>
      <c r="I37" s="55" t="s">
        <v>9</v>
      </c>
      <c r="J37" s="55" t="s">
        <v>10</v>
      </c>
      <c r="K37" s="56" t="s">
        <v>11</v>
      </c>
      <c r="L37" s="56" t="s">
        <v>12</v>
      </c>
      <c r="M37" s="56" t="s">
        <v>13</v>
      </c>
      <c r="N37" s="53" t="s">
        <v>14</v>
      </c>
      <c r="O37" s="53" t="s">
        <v>15</v>
      </c>
      <c r="P37" s="53" t="s">
        <v>16</v>
      </c>
      <c r="Q37" s="53" t="s">
        <v>17</v>
      </c>
      <c r="R37" s="53" t="s">
        <v>18</v>
      </c>
      <c r="S37" s="53" t="s">
        <v>19</v>
      </c>
      <c r="T37" s="53" t="s">
        <v>20</v>
      </c>
      <c r="U37" s="53" t="s">
        <v>21</v>
      </c>
      <c r="V37" s="53" t="s">
        <v>22</v>
      </c>
      <c r="W37" s="53" t="s">
        <v>23</v>
      </c>
      <c r="X37" s="53" t="s">
        <v>24</v>
      </c>
      <c r="Y37" s="53" t="s">
        <v>25</v>
      </c>
      <c r="Z37" s="57" t="s">
        <v>26</v>
      </c>
      <c r="AA37" s="57" t="s">
        <v>27</v>
      </c>
      <c r="AB37" s="53" t="s">
        <v>28</v>
      </c>
      <c r="AC37" s="53" t="s">
        <v>29</v>
      </c>
      <c r="AD37" s="53" t="s">
        <v>30</v>
      </c>
      <c r="AE37" s="53" t="s">
        <v>31</v>
      </c>
      <c r="AF37" s="53" t="s">
        <v>32</v>
      </c>
      <c r="AG37" s="53" t="s">
        <v>1</v>
      </c>
      <c r="AH37" s="53" t="s">
        <v>33</v>
      </c>
      <c r="AI37" s="53" t="s">
        <v>34</v>
      </c>
      <c r="AJ37" s="53" t="s">
        <v>35</v>
      </c>
      <c r="AK37" s="53" t="s">
        <v>36</v>
      </c>
      <c r="AL37" s="53" t="s">
        <v>37</v>
      </c>
      <c r="AM37" s="53" t="s">
        <v>38</v>
      </c>
      <c r="AN37" s="58" t="s">
        <v>39</v>
      </c>
      <c r="AO37" s="58" t="s">
        <v>40</v>
      </c>
      <c r="AP37" s="58" t="s">
        <v>41</v>
      </c>
      <c r="AQ37" s="58" t="s">
        <v>42</v>
      </c>
      <c r="AR37" s="58" t="s">
        <v>43</v>
      </c>
    </row>
    <row r="38" spans="1:45" x14ac:dyDescent="0.2">
      <c r="B38" s="59" t="s">
        <v>202</v>
      </c>
      <c r="C38" s="60" t="s">
        <v>47</v>
      </c>
      <c r="D38" s="61" t="s">
        <v>203</v>
      </c>
      <c r="E38" s="62" t="s">
        <v>204</v>
      </c>
      <c r="F38" s="62" t="s">
        <v>205</v>
      </c>
      <c r="G38" s="63" t="s">
        <v>206</v>
      </c>
      <c r="H38" s="64">
        <v>46185</v>
      </c>
      <c r="I38" s="65">
        <v>10516</v>
      </c>
      <c r="J38" s="65">
        <v>454</v>
      </c>
      <c r="K38" s="66">
        <v>46162</v>
      </c>
      <c r="L38" s="66">
        <v>8624</v>
      </c>
      <c r="M38" s="66">
        <v>334</v>
      </c>
      <c r="N38" s="62"/>
      <c r="O38" s="62">
        <v>669</v>
      </c>
      <c r="P38" s="62">
        <v>1892</v>
      </c>
      <c r="Q38" s="62">
        <v>-215</v>
      </c>
      <c r="R38" s="62">
        <v>1000</v>
      </c>
      <c r="S38" s="62">
        <v>0</v>
      </c>
      <c r="T38" s="62">
        <v>2.9100000000000001E-2</v>
      </c>
      <c r="U38" s="62">
        <v>0.29099999999999998</v>
      </c>
      <c r="V38" s="62">
        <v>26</v>
      </c>
      <c r="W38" s="62">
        <v>-6</v>
      </c>
      <c r="X38" s="62">
        <v>0.03</v>
      </c>
      <c r="Y38" s="62">
        <v>0.03</v>
      </c>
      <c r="Z38" s="67">
        <v>866</v>
      </c>
      <c r="AA38" s="67">
        <v>0</v>
      </c>
      <c r="AB38" s="62">
        <v>25.2</v>
      </c>
      <c r="AC38" s="62">
        <v>0</v>
      </c>
      <c r="AD38" s="62">
        <v>739.8</v>
      </c>
      <c r="AE38" s="62">
        <v>25.2</v>
      </c>
      <c r="AF38" s="68">
        <v>739.8</v>
      </c>
      <c r="AG38" s="68">
        <v>0</v>
      </c>
      <c r="AH38" s="62">
        <v>0</v>
      </c>
      <c r="AI38" s="62">
        <v>0</v>
      </c>
      <c r="AJ38" s="62">
        <v>765</v>
      </c>
      <c r="AK38" s="62">
        <v>765</v>
      </c>
      <c r="AL38" s="69" t="s">
        <v>207</v>
      </c>
      <c r="AM38" s="62" t="s">
        <v>202</v>
      </c>
      <c r="AN38" s="62">
        <v>45992</v>
      </c>
      <c r="AO38" s="62">
        <v>1</v>
      </c>
      <c r="AP38" s="62">
        <v>7</v>
      </c>
      <c r="AQ38" s="62">
        <v>36</v>
      </c>
      <c r="AR38" s="62" t="s">
        <v>208</v>
      </c>
    </row>
    <row r="39" spans="1:45" x14ac:dyDescent="0.2">
      <c r="B39" s="70" t="s">
        <v>209</v>
      </c>
      <c r="C39" s="71" t="s">
        <v>47</v>
      </c>
      <c r="D39" s="61" t="s">
        <v>203</v>
      </c>
      <c r="E39" s="72" t="s">
        <v>210</v>
      </c>
      <c r="F39" s="72" t="s">
        <v>211</v>
      </c>
      <c r="G39" s="63" t="s">
        <v>212</v>
      </c>
      <c r="H39" s="64">
        <v>46196</v>
      </c>
      <c r="I39" s="65">
        <v>22015</v>
      </c>
      <c r="J39" s="65">
        <v>18606</v>
      </c>
      <c r="K39" s="66">
        <v>46164</v>
      </c>
      <c r="L39" s="66">
        <v>18962</v>
      </c>
      <c r="M39" s="66">
        <v>16240</v>
      </c>
      <c r="N39" s="72"/>
      <c r="O39" s="72"/>
      <c r="P39" s="72">
        <v>3053</v>
      </c>
      <c r="Q39" s="72">
        <v>2366</v>
      </c>
      <c r="R39" s="72">
        <v>1000</v>
      </c>
      <c r="S39" s="72">
        <v>0</v>
      </c>
      <c r="T39" s="72">
        <v>2.9100000000000001E-2</v>
      </c>
      <c r="U39" s="72">
        <v>0.29099999999999998</v>
      </c>
      <c r="V39" s="72">
        <v>61</v>
      </c>
      <c r="W39" s="72">
        <v>70</v>
      </c>
      <c r="X39" s="72">
        <v>0.03</v>
      </c>
      <c r="Y39" s="72">
        <v>0.03</v>
      </c>
      <c r="Z39" s="67">
        <v>1992</v>
      </c>
      <c r="AA39" s="67">
        <v>2296</v>
      </c>
      <c r="AB39" s="72">
        <v>57.97</v>
      </c>
      <c r="AC39" s="72">
        <v>668.14</v>
      </c>
      <c r="AD39" s="72">
        <v>359.22</v>
      </c>
      <c r="AE39" s="72">
        <v>726.11</v>
      </c>
      <c r="AF39" s="68">
        <v>359.22</v>
      </c>
      <c r="AG39" s="68">
        <v>0</v>
      </c>
      <c r="AH39" s="72">
        <v>0</v>
      </c>
      <c r="AI39" s="72">
        <v>0</v>
      </c>
      <c r="AJ39" s="72">
        <v>1085.33</v>
      </c>
      <c r="AK39" s="72">
        <v>1085.33</v>
      </c>
      <c r="AL39" s="69" t="s">
        <v>213</v>
      </c>
      <c r="AM39" s="72" t="s">
        <v>209</v>
      </c>
      <c r="AN39" s="72">
        <v>45992</v>
      </c>
      <c r="AO39" s="72">
        <v>1</v>
      </c>
      <c r="AP39" s="72">
        <v>7</v>
      </c>
      <c r="AQ39" s="72">
        <v>36</v>
      </c>
      <c r="AR39" s="72" t="s">
        <v>208</v>
      </c>
    </row>
    <row r="40" spans="1:45" x14ac:dyDescent="0.2">
      <c r="B40" s="59" t="s">
        <v>214</v>
      </c>
      <c r="C40" s="60" t="s">
        <v>47</v>
      </c>
      <c r="D40" s="61" t="s">
        <v>215</v>
      </c>
      <c r="E40" s="62" t="s">
        <v>210</v>
      </c>
      <c r="F40" s="62" t="s">
        <v>216</v>
      </c>
      <c r="G40" s="63" t="s">
        <v>217</v>
      </c>
      <c r="H40" s="64">
        <v>46195</v>
      </c>
      <c r="I40" s="65">
        <v>7881</v>
      </c>
      <c r="J40" s="65">
        <v>3515</v>
      </c>
      <c r="K40" s="66">
        <v>46164</v>
      </c>
      <c r="L40" s="66">
        <v>6929</v>
      </c>
      <c r="M40" s="66">
        <v>2529</v>
      </c>
      <c r="N40" s="62"/>
      <c r="O40" s="62"/>
      <c r="P40" s="62">
        <v>952</v>
      </c>
      <c r="Q40" s="62">
        <v>986</v>
      </c>
      <c r="R40" s="62">
        <v>1000</v>
      </c>
      <c r="S40" s="62">
        <v>0</v>
      </c>
      <c r="T40" s="62">
        <v>2.9100000000000001E-2</v>
      </c>
      <c r="U40" s="62">
        <v>0.29099999999999998</v>
      </c>
      <c r="V40" s="62">
        <v>-1</v>
      </c>
      <c r="W40" s="62">
        <v>29</v>
      </c>
      <c r="X40" s="62">
        <v>0.03</v>
      </c>
      <c r="Y40" s="62">
        <v>0.03</v>
      </c>
      <c r="Z40" s="67">
        <v>0</v>
      </c>
      <c r="AA40" s="67">
        <v>957</v>
      </c>
      <c r="AB40" s="62">
        <v>0</v>
      </c>
      <c r="AC40" s="62">
        <v>278.49</v>
      </c>
      <c r="AD40" s="62">
        <v>359.22</v>
      </c>
      <c r="AE40" s="62">
        <v>278.49</v>
      </c>
      <c r="AF40" s="68">
        <v>359.22</v>
      </c>
      <c r="AG40" s="68">
        <v>0</v>
      </c>
      <c r="AH40" s="62">
        <v>0</v>
      </c>
      <c r="AI40" s="62">
        <v>0</v>
      </c>
      <c r="AJ40" s="62">
        <v>637.71</v>
      </c>
      <c r="AK40" s="62">
        <v>637.71</v>
      </c>
      <c r="AL40" s="69" t="s">
        <v>218</v>
      </c>
      <c r="AM40" s="62" t="s">
        <v>214</v>
      </c>
      <c r="AN40" s="62">
        <v>45992</v>
      </c>
      <c r="AO40" s="62">
        <v>1</v>
      </c>
      <c r="AP40" s="62">
        <v>7</v>
      </c>
      <c r="AQ40" s="62">
        <v>36</v>
      </c>
      <c r="AR40" s="62" t="s">
        <v>208</v>
      </c>
    </row>
    <row r="41" spans="1:45" x14ac:dyDescent="0.2">
      <c r="B41" s="70" t="s">
        <v>219</v>
      </c>
      <c r="C41" s="71" t="s">
        <v>47</v>
      </c>
      <c r="D41" s="61" t="s">
        <v>215</v>
      </c>
      <c r="E41" s="72" t="s">
        <v>210</v>
      </c>
      <c r="F41" s="72" t="s">
        <v>220</v>
      </c>
      <c r="G41" s="63" t="s">
        <v>221</v>
      </c>
      <c r="H41" s="64">
        <v>46196</v>
      </c>
      <c r="I41" s="65">
        <v>4027</v>
      </c>
      <c r="J41" s="65">
        <v>1657</v>
      </c>
      <c r="K41" s="66">
        <v>46164</v>
      </c>
      <c r="L41" s="66">
        <v>3141</v>
      </c>
      <c r="M41" s="66">
        <v>1312</v>
      </c>
      <c r="N41" s="72"/>
      <c r="O41" s="72"/>
      <c r="P41" s="72">
        <v>886</v>
      </c>
      <c r="Q41" s="72">
        <v>345</v>
      </c>
      <c r="R41" s="72">
        <v>1000</v>
      </c>
      <c r="S41" s="72">
        <v>0</v>
      </c>
      <c r="T41" s="72">
        <v>2.9100000000000001E-2</v>
      </c>
      <c r="U41" s="72">
        <v>0.29099999999999998</v>
      </c>
      <c r="V41" s="72">
        <v>-3</v>
      </c>
      <c r="W41" s="72">
        <v>10</v>
      </c>
      <c r="X41" s="72">
        <v>0.03</v>
      </c>
      <c r="Y41" s="72">
        <v>0.03</v>
      </c>
      <c r="Z41" s="67">
        <v>0</v>
      </c>
      <c r="AA41" s="67">
        <v>335</v>
      </c>
      <c r="AB41" s="72">
        <v>0</v>
      </c>
      <c r="AC41" s="72">
        <v>97.49</v>
      </c>
      <c r="AD41" s="72">
        <v>359.22</v>
      </c>
      <c r="AE41" s="72">
        <v>97.49</v>
      </c>
      <c r="AF41" s="68">
        <v>359.22</v>
      </c>
      <c r="AG41" s="68">
        <v>0</v>
      </c>
      <c r="AH41" s="72">
        <v>0</v>
      </c>
      <c r="AI41" s="72">
        <v>0</v>
      </c>
      <c r="AJ41" s="72">
        <v>456.71000000000004</v>
      </c>
      <c r="AK41" s="72">
        <v>456.71000000000004</v>
      </c>
      <c r="AL41" s="69" t="s">
        <v>222</v>
      </c>
      <c r="AM41" s="72" t="s">
        <v>219</v>
      </c>
      <c r="AN41" s="72">
        <v>45992</v>
      </c>
      <c r="AO41" s="72">
        <v>1</v>
      </c>
      <c r="AP41" s="72">
        <v>7</v>
      </c>
      <c r="AQ41" s="72">
        <v>36</v>
      </c>
      <c r="AR41" s="72" t="s">
        <v>208</v>
      </c>
    </row>
    <row r="42" spans="1:45" x14ac:dyDescent="0.2">
      <c r="B42" s="59" t="s">
        <v>223</v>
      </c>
      <c r="C42" s="60" t="s">
        <v>47</v>
      </c>
      <c r="D42" s="61" t="s">
        <v>224</v>
      </c>
      <c r="E42" s="62" t="s">
        <v>210</v>
      </c>
      <c r="F42" s="62" t="s">
        <v>225</v>
      </c>
      <c r="G42" s="63" t="s">
        <v>226</v>
      </c>
      <c r="H42" s="64">
        <v>46195</v>
      </c>
      <c r="I42" s="65">
        <v>7096</v>
      </c>
      <c r="J42" s="65">
        <v>4055</v>
      </c>
      <c r="K42" s="66">
        <v>46165</v>
      </c>
      <c r="L42" s="66">
        <v>5797</v>
      </c>
      <c r="M42" s="66">
        <v>3728</v>
      </c>
      <c r="N42" s="62"/>
      <c r="O42" s="62"/>
      <c r="P42" s="62">
        <v>1299</v>
      </c>
      <c r="Q42" s="62">
        <v>327</v>
      </c>
      <c r="R42" s="62">
        <v>1000</v>
      </c>
      <c r="S42" s="62">
        <v>0</v>
      </c>
      <c r="T42" s="62">
        <v>2.9100000000000001E-2</v>
      </c>
      <c r="U42" s="62">
        <v>0.29099999999999998</v>
      </c>
      <c r="V42" s="62">
        <v>8</v>
      </c>
      <c r="W42" s="62">
        <v>9</v>
      </c>
      <c r="X42" s="62">
        <v>0.03</v>
      </c>
      <c r="Y42" s="62">
        <v>0.03</v>
      </c>
      <c r="Z42" s="67">
        <v>291</v>
      </c>
      <c r="AA42" s="67">
        <v>318</v>
      </c>
      <c r="AB42" s="62">
        <v>8.4700000000000006</v>
      </c>
      <c r="AC42" s="62">
        <v>92.54</v>
      </c>
      <c r="AD42" s="62">
        <v>359.22</v>
      </c>
      <c r="AE42" s="62">
        <v>101.01</v>
      </c>
      <c r="AF42" s="68">
        <v>359.22</v>
      </c>
      <c r="AG42" s="68">
        <v>0</v>
      </c>
      <c r="AH42" s="62">
        <v>0</v>
      </c>
      <c r="AI42" s="62">
        <v>0</v>
      </c>
      <c r="AJ42" s="62">
        <v>460.23</v>
      </c>
      <c r="AK42" s="62">
        <v>460.23</v>
      </c>
      <c r="AL42" s="69" t="s">
        <v>227</v>
      </c>
      <c r="AM42" s="62" t="s">
        <v>223</v>
      </c>
      <c r="AN42" s="62">
        <v>45992</v>
      </c>
      <c r="AO42" s="62">
        <v>1</v>
      </c>
      <c r="AP42" s="62">
        <v>7</v>
      </c>
      <c r="AQ42" s="62">
        <v>36</v>
      </c>
      <c r="AR42" s="62" t="s">
        <v>208</v>
      </c>
    </row>
    <row r="43" spans="1:45" x14ac:dyDescent="0.2">
      <c r="B43" s="70" t="s">
        <v>228</v>
      </c>
      <c r="C43" s="71" t="s">
        <v>47</v>
      </c>
      <c r="D43" s="61" t="s">
        <v>229</v>
      </c>
      <c r="E43" s="72" t="s">
        <v>210</v>
      </c>
      <c r="F43" s="72" t="s">
        <v>230</v>
      </c>
      <c r="G43" s="63" t="s">
        <v>231</v>
      </c>
      <c r="H43" s="64">
        <v>46197</v>
      </c>
      <c r="I43" s="65">
        <v>5802</v>
      </c>
      <c r="J43" s="65">
        <v>2537</v>
      </c>
      <c r="K43" s="66">
        <v>46164</v>
      </c>
      <c r="L43" s="66">
        <v>4552</v>
      </c>
      <c r="M43" s="66">
        <v>2333</v>
      </c>
      <c r="N43" s="72"/>
      <c r="O43" s="72"/>
      <c r="P43" s="72">
        <v>1250</v>
      </c>
      <c r="Q43" s="72">
        <v>204</v>
      </c>
      <c r="R43" s="72">
        <v>1000</v>
      </c>
      <c r="S43" s="72">
        <v>0</v>
      </c>
      <c r="T43" s="72">
        <v>2.9100000000000001E-2</v>
      </c>
      <c r="U43" s="72">
        <v>0.29099999999999998</v>
      </c>
      <c r="V43" s="72">
        <v>7</v>
      </c>
      <c r="W43" s="72">
        <v>6</v>
      </c>
      <c r="X43" s="72">
        <v>0.03</v>
      </c>
      <c r="Y43" s="72">
        <v>0.03</v>
      </c>
      <c r="Z43" s="67">
        <v>243</v>
      </c>
      <c r="AA43" s="67">
        <v>198</v>
      </c>
      <c r="AB43" s="72">
        <v>7.07</v>
      </c>
      <c r="AC43" s="72">
        <v>57.62</v>
      </c>
      <c r="AD43" s="72">
        <v>359.22</v>
      </c>
      <c r="AE43" s="72">
        <v>64.69</v>
      </c>
      <c r="AF43" s="68">
        <v>359.22</v>
      </c>
      <c r="AG43" s="68">
        <v>0</v>
      </c>
      <c r="AH43" s="72">
        <v>0</v>
      </c>
      <c r="AI43" s="72">
        <v>0</v>
      </c>
      <c r="AJ43" s="72">
        <v>423.91</v>
      </c>
      <c r="AK43" s="72">
        <v>423.91</v>
      </c>
      <c r="AL43" s="69" t="s">
        <v>232</v>
      </c>
      <c r="AM43" s="72" t="s">
        <v>228</v>
      </c>
      <c r="AN43" s="72">
        <v>45992</v>
      </c>
      <c r="AO43" s="72">
        <v>1</v>
      </c>
      <c r="AP43" s="72">
        <v>7</v>
      </c>
      <c r="AQ43" s="72">
        <v>36</v>
      </c>
      <c r="AR43" s="72" t="s">
        <v>208</v>
      </c>
    </row>
    <row r="44" spans="1:45" x14ac:dyDescent="0.2">
      <c r="B44" s="59" t="s">
        <v>233</v>
      </c>
      <c r="C44" s="60" t="s">
        <v>47</v>
      </c>
      <c r="D44" s="61" t="s">
        <v>234</v>
      </c>
      <c r="E44" s="62" t="s">
        <v>210</v>
      </c>
      <c r="F44" s="62" t="s">
        <v>235</v>
      </c>
      <c r="G44" s="63" t="s">
        <v>236</v>
      </c>
      <c r="H44" s="64">
        <v>46197</v>
      </c>
      <c r="I44" s="65">
        <v>6275</v>
      </c>
      <c r="J44" s="65">
        <v>6889</v>
      </c>
      <c r="K44" s="66">
        <v>46164</v>
      </c>
      <c r="L44" s="66">
        <v>4942</v>
      </c>
      <c r="M44" s="66">
        <v>5395</v>
      </c>
      <c r="N44" s="62"/>
      <c r="O44" s="62"/>
      <c r="P44" s="62">
        <v>1333</v>
      </c>
      <c r="Q44" s="62">
        <v>1494</v>
      </c>
      <c r="R44" s="62">
        <v>1000</v>
      </c>
      <c r="S44" s="62">
        <v>0</v>
      </c>
      <c r="T44" s="62">
        <v>2.9100000000000001E-2</v>
      </c>
      <c r="U44" s="62">
        <v>0.29099999999999998</v>
      </c>
      <c r="V44" s="62">
        <v>9</v>
      </c>
      <c r="W44" s="62">
        <v>44</v>
      </c>
      <c r="X44" s="62">
        <v>0.03</v>
      </c>
      <c r="Y44" s="62">
        <v>0.03</v>
      </c>
      <c r="Z44" s="67">
        <v>324</v>
      </c>
      <c r="AA44" s="67">
        <v>1450</v>
      </c>
      <c r="AB44" s="62">
        <v>9.43</v>
      </c>
      <c r="AC44" s="62">
        <v>421.95</v>
      </c>
      <c r="AD44" s="62">
        <v>359.22</v>
      </c>
      <c r="AE44" s="62">
        <v>431.38</v>
      </c>
      <c r="AF44" s="68">
        <v>359.22</v>
      </c>
      <c r="AG44" s="68">
        <v>0</v>
      </c>
      <c r="AH44" s="62">
        <v>0</v>
      </c>
      <c r="AI44" s="62">
        <v>0</v>
      </c>
      <c r="AJ44" s="62">
        <v>790.6</v>
      </c>
      <c r="AK44" s="62">
        <v>790.6</v>
      </c>
      <c r="AL44" s="69" t="s">
        <v>237</v>
      </c>
      <c r="AM44" s="62" t="s">
        <v>233</v>
      </c>
      <c r="AN44" s="62">
        <v>45992</v>
      </c>
      <c r="AO44" s="62">
        <v>1</v>
      </c>
      <c r="AP44" s="62">
        <v>7</v>
      </c>
      <c r="AQ44" s="62">
        <v>36</v>
      </c>
      <c r="AR44" s="62" t="s">
        <v>208</v>
      </c>
    </row>
    <row r="45" spans="1:45" x14ac:dyDescent="0.2">
      <c r="B45" s="70" t="s">
        <v>238</v>
      </c>
      <c r="C45" s="71" t="s">
        <v>47</v>
      </c>
      <c r="D45" s="61" t="s">
        <v>239</v>
      </c>
      <c r="E45" s="72" t="s">
        <v>210</v>
      </c>
      <c r="F45" s="72" t="s">
        <v>240</v>
      </c>
      <c r="G45" s="63" t="s">
        <v>241</v>
      </c>
      <c r="H45" s="64">
        <v>46197</v>
      </c>
      <c r="I45" s="65">
        <v>3886</v>
      </c>
      <c r="J45" s="65">
        <v>3521</v>
      </c>
      <c r="K45" s="66">
        <v>46163</v>
      </c>
      <c r="L45" s="66">
        <v>3207</v>
      </c>
      <c r="M45" s="66">
        <v>2823</v>
      </c>
      <c r="N45" s="72"/>
      <c r="O45" s="72"/>
      <c r="P45" s="72">
        <v>679</v>
      </c>
      <c r="Q45" s="72">
        <v>698</v>
      </c>
      <c r="R45" s="72">
        <v>1000</v>
      </c>
      <c r="S45" s="72">
        <v>0</v>
      </c>
      <c r="T45" s="72">
        <v>2.9100000000000001E-2</v>
      </c>
      <c r="U45" s="72">
        <v>0.29099999999999998</v>
      </c>
      <c r="V45" s="72">
        <v>-9</v>
      </c>
      <c r="W45" s="72">
        <v>20</v>
      </c>
      <c r="X45" s="72">
        <v>0.03</v>
      </c>
      <c r="Y45" s="72">
        <v>0.03</v>
      </c>
      <c r="Z45" s="67">
        <v>0</v>
      </c>
      <c r="AA45" s="67">
        <v>678</v>
      </c>
      <c r="AB45" s="72">
        <v>0</v>
      </c>
      <c r="AC45" s="72">
        <v>197.3</v>
      </c>
      <c r="AD45" s="72">
        <v>359.22</v>
      </c>
      <c r="AE45" s="72">
        <v>197.3</v>
      </c>
      <c r="AF45" s="68">
        <v>359.22</v>
      </c>
      <c r="AG45" s="68">
        <v>0</v>
      </c>
      <c r="AH45" s="72">
        <v>0</v>
      </c>
      <c r="AI45" s="72">
        <v>0</v>
      </c>
      <c r="AJ45" s="72">
        <v>556.52</v>
      </c>
      <c r="AK45" s="72">
        <v>556.52</v>
      </c>
      <c r="AL45" s="69" t="s">
        <v>242</v>
      </c>
      <c r="AM45" s="72" t="s">
        <v>238</v>
      </c>
      <c r="AN45" s="72">
        <v>45992</v>
      </c>
      <c r="AO45" s="72">
        <v>1</v>
      </c>
      <c r="AP45" s="72">
        <v>7</v>
      </c>
      <c r="AQ45" s="72">
        <v>36</v>
      </c>
      <c r="AR45" s="72" t="s">
        <v>208</v>
      </c>
    </row>
    <row r="46" spans="1:45" x14ac:dyDescent="0.2">
      <c r="B46" s="59" t="s">
        <v>243</v>
      </c>
      <c r="C46" s="60" t="s">
        <v>47</v>
      </c>
      <c r="D46" s="61" t="s">
        <v>244</v>
      </c>
      <c r="E46" s="62" t="s">
        <v>210</v>
      </c>
      <c r="F46" s="62" t="s">
        <v>245</v>
      </c>
      <c r="G46" s="63" t="s">
        <v>246</v>
      </c>
      <c r="H46" s="64">
        <v>46196</v>
      </c>
      <c r="I46" s="65">
        <v>5803</v>
      </c>
      <c r="J46" s="65">
        <v>1519</v>
      </c>
      <c r="K46" s="66">
        <v>46164</v>
      </c>
      <c r="L46" s="66">
        <v>4610</v>
      </c>
      <c r="M46" s="66">
        <v>1089</v>
      </c>
      <c r="N46" s="62"/>
      <c r="O46" s="62"/>
      <c r="P46" s="62">
        <v>1193</v>
      </c>
      <c r="Q46" s="62">
        <v>430</v>
      </c>
      <c r="R46" s="62">
        <v>1000</v>
      </c>
      <c r="S46" s="62">
        <v>0</v>
      </c>
      <c r="T46" s="62">
        <v>2.9100000000000001E-2</v>
      </c>
      <c r="U46" s="62">
        <v>0.29099999999999998</v>
      </c>
      <c r="V46" s="62">
        <v>5</v>
      </c>
      <c r="W46" s="62">
        <v>12</v>
      </c>
      <c r="X46" s="62">
        <v>0.03</v>
      </c>
      <c r="Y46" s="62">
        <v>0.03</v>
      </c>
      <c r="Z46" s="67">
        <v>188</v>
      </c>
      <c r="AA46" s="67">
        <v>418</v>
      </c>
      <c r="AB46" s="62">
        <v>5.47</v>
      </c>
      <c r="AC46" s="62">
        <v>121.64</v>
      </c>
      <c r="AD46" s="62">
        <v>359.22</v>
      </c>
      <c r="AE46" s="62">
        <v>127.11</v>
      </c>
      <c r="AF46" s="68">
        <v>359.22</v>
      </c>
      <c r="AG46" s="68">
        <v>0</v>
      </c>
      <c r="AH46" s="62">
        <v>0</v>
      </c>
      <c r="AI46" s="62">
        <v>0</v>
      </c>
      <c r="AJ46" s="62">
        <v>486.33000000000004</v>
      </c>
      <c r="AK46" s="62">
        <v>486.33000000000004</v>
      </c>
      <c r="AL46" s="69" t="s">
        <v>247</v>
      </c>
      <c r="AM46" s="62" t="s">
        <v>243</v>
      </c>
      <c r="AN46" s="62">
        <v>45992</v>
      </c>
      <c r="AO46" s="62">
        <v>1</v>
      </c>
      <c r="AP46" s="62">
        <v>7</v>
      </c>
      <c r="AQ46" s="62">
        <v>36</v>
      </c>
      <c r="AR46" s="62" t="s">
        <v>208</v>
      </c>
    </row>
    <row r="47" spans="1:45" x14ac:dyDescent="0.2">
      <c r="B47" s="70" t="s">
        <v>248</v>
      </c>
      <c r="C47" s="71" t="s">
        <v>47</v>
      </c>
      <c r="D47" s="61" t="s">
        <v>249</v>
      </c>
      <c r="E47" s="72" t="s">
        <v>210</v>
      </c>
      <c r="F47" s="72" t="s">
        <v>250</v>
      </c>
      <c r="G47" s="63" t="s">
        <v>251</v>
      </c>
      <c r="H47" s="64">
        <v>46197</v>
      </c>
      <c r="I47" s="65">
        <v>5758</v>
      </c>
      <c r="J47" s="65">
        <v>1843</v>
      </c>
      <c r="K47" s="66">
        <v>46168</v>
      </c>
      <c r="L47" s="66">
        <v>5121</v>
      </c>
      <c r="M47" s="66">
        <v>1723</v>
      </c>
      <c r="N47" s="72"/>
      <c r="O47" s="72"/>
      <c r="P47" s="72">
        <v>637</v>
      </c>
      <c r="Q47" s="72">
        <v>120</v>
      </c>
      <c r="R47" s="72">
        <v>1000</v>
      </c>
      <c r="S47" s="72">
        <v>0</v>
      </c>
      <c r="T47" s="72">
        <v>2.9100000000000001E-2</v>
      </c>
      <c r="U47" s="72">
        <v>0.29099999999999998</v>
      </c>
      <c r="V47" s="72">
        <v>-10</v>
      </c>
      <c r="W47" s="72">
        <v>3</v>
      </c>
      <c r="X47" s="72">
        <v>0.03</v>
      </c>
      <c r="Y47" s="72">
        <v>0.03</v>
      </c>
      <c r="Z47" s="67">
        <v>0</v>
      </c>
      <c r="AA47" s="67">
        <v>117</v>
      </c>
      <c r="AB47" s="72">
        <v>0</v>
      </c>
      <c r="AC47" s="72">
        <v>34.049999999999997</v>
      </c>
      <c r="AD47" s="72">
        <v>359.22</v>
      </c>
      <c r="AE47" s="72">
        <v>34.049999999999997</v>
      </c>
      <c r="AF47" s="68">
        <v>359.22</v>
      </c>
      <c r="AG47" s="68">
        <v>0</v>
      </c>
      <c r="AH47" s="72">
        <v>0</v>
      </c>
      <c r="AI47" s="72">
        <v>0</v>
      </c>
      <c r="AJ47" s="72">
        <v>393.27000000000004</v>
      </c>
      <c r="AK47" s="72">
        <v>393.27000000000004</v>
      </c>
      <c r="AL47" s="69" t="s">
        <v>252</v>
      </c>
      <c r="AM47" s="72" t="s">
        <v>248</v>
      </c>
      <c r="AN47" s="72">
        <v>45992</v>
      </c>
      <c r="AO47" s="72">
        <v>1</v>
      </c>
      <c r="AP47" s="72">
        <v>7</v>
      </c>
      <c r="AQ47" s="72">
        <v>36</v>
      </c>
      <c r="AR47" s="72" t="s">
        <v>208</v>
      </c>
    </row>
    <row r="48" spans="1:45" x14ac:dyDescent="0.2">
      <c r="B48" s="59" t="s">
        <v>253</v>
      </c>
      <c r="C48" s="60" t="s">
        <v>47</v>
      </c>
      <c r="D48" s="61" t="s">
        <v>254</v>
      </c>
      <c r="E48" s="62" t="s">
        <v>210</v>
      </c>
      <c r="F48" s="62" t="s">
        <v>255</v>
      </c>
      <c r="G48" s="63" t="s">
        <v>256</v>
      </c>
      <c r="H48" s="64">
        <v>46195</v>
      </c>
      <c r="I48" s="65">
        <v>7291</v>
      </c>
      <c r="J48" s="65">
        <v>2046</v>
      </c>
      <c r="K48" s="66">
        <v>46164</v>
      </c>
      <c r="L48" s="66">
        <v>6249</v>
      </c>
      <c r="M48" s="66">
        <v>1920</v>
      </c>
      <c r="N48" s="62"/>
      <c r="O48" s="62"/>
      <c r="P48" s="62">
        <v>1042</v>
      </c>
      <c r="Q48" s="62">
        <v>126</v>
      </c>
      <c r="R48" s="62">
        <v>1000</v>
      </c>
      <c r="S48" s="62">
        <v>0</v>
      </c>
      <c r="T48" s="62">
        <v>2.9100000000000001E-2</v>
      </c>
      <c r="U48" s="62">
        <v>0.29099999999999998</v>
      </c>
      <c r="V48" s="62">
        <v>1</v>
      </c>
      <c r="W48" s="62">
        <v>3</v>
      </c>
      <c r="X48" s="62">
        <v>0.03</v>
      </c>
      <c r="Y48" s="62">
        <v>0.03</v>
      </c>
      <c r="Z48" s="67">
        <v>41</v>
      </c>
      <c r="AA48" s="67">
        <v>123</v>
      </c>
      <c r="AB48" s="62">
        <v>1.19</v>
      </c>
      <c r="AC48" s="62">
        <v>35.79</v>
      </c>
      <c r="AD48" s="62">
        <v>359.22</v>
      </c>
      <c r="AE48" s="62">
        <v>36.979999999999997</v>
      </c>
      <c r="AF48" s="68">
        <v>359.22</v>
      </c>
      <c r="AG48" s="68">
        <v>0</v>
      </c>
      <c r="AH48" s="62">
        <v>0</v>
      </c>
      <c r="AI48" s="62">
        <v>0</v>
      </c>
      <c r="AJ48" s="62">
        <v>396.20000000000005</v>
      </c>
      <c r="AK48" s="62">
        <v>396.20000000000005</v>
      </c>
      <c r="AL48" s="69" t="s">
        <v>257</v>
      </c>
      <c r="AM48" s="62" t="s">
        <v>253</v>
      </c>
      <c r="AN48" s="62">
        <v>45992</v>
      </c>
      <c r="AO48" s="62">
        <v>1</v>
      </c>
      <c r="AP48" s="62">
        <v>7</v>
      </c>
      <c r="AQ48" s="62">
        <v>36</v>
      </c>
      <c r="AR48" s="62" t="s">
        <v>208</v>
      </c>
    </row>
    <row r="49" spans="1:49" x14ac:dyDescent="0.2">
      <c r="B49" s="70" t="s">
        <v>258</v>
      </c>
      <c r="C49" s="71" t="s">
        <v>47</v>
      </c>
      <c r="D49" s="61" t="s">
        <v>254</v>
      </c>
      <c r="E49" s="72" t="s">
        <v>210</v>
      </c>
      <c r="F49" s="72" t="s">
        <v>259</v>
      </c>
      <c r="G49" s="63" t="s">
        <v>260</v>
      </c>
      <c r="H49" s="64">
        <v>46197</v>
      </c>
      <c r="I49" s="65">
        <v>3205</v>
      </c>
      <c r="J49" s="65">
        <v>2089</v>
      </c>
      <c r="K49" s="66">
        <v>46164</v>
      </c>
      <c r="L49" s="66">
        <v>2618</v>
      </c>
      <c r="M49" s="66">
        <v>1344</v>
      </c>
      <c r="N49" s="72">
        <v>3102</v>
      </c>
      <c r="O49" s="72"/>
      <c r="P49" s="72">
        <v>103</v>
      </c>
      <c r="Q49" s="72">
        <v>745</v>
      </c>
      <c r="R49" s="72">
        <v>1000</v>
      </c>
      <c r="S49" s="72">
        <v>0</v>
      </c>
      <c r="T49" s="72">
        <v>2.9100000000000001E-2</v>
      </c>
      <c r="U49" s="72">
        <v>0.29099999999999998</v>
      </c>
      <c r="V49" s="72">
        <v>-26</v>
      </c>
      <c r="W49" s="72">
        <v>22</v>
      </c>
      <c r="X49" s="72">
        <v>0.03</v>
      </c>
      <c r="Y49" s="72">
        <v>0.03</v>
      </c>
      <c r="Z49" s="67">
        <v>0</v>
      </c>
      <c r="AA49" s="67">
        <v>723</v>
      </c>
      <c r="AB49" s="72">
        <v>0</v>
      </c>
      <c r="AC49" s="72">
        <v>210.39</v>
      </c>
      <c r="AD49" s="72">
        <v>359.22</v>
      </c>
      <c r="AE49" s="72">
        <v>210.39</v>
      </c>
      <c r="AF49" s="68">
        <v>359.22</v>
      </c>
      <c r="AG49" s="68">
        <v>0</v>
      </c>
      <c r="AH49" s="72">
        <v>0</v>
      </c>
      <c r="AI49" s="72">
        <v>0</v>
      </c>
      <c r="AJ49" s="72">
        <v>569.61</v>
      </c>
      <c r="AK49" s="72">
        <v>569.61</v>
      </c>
      <c r="AL49" s="69" t="s">
        <v>261</v>
      </c>
      <c r="AM49" s="72" t="s">
        <v>258</v>
      </c>
      <c r="AN49" s="72">
        <v>45992</v>
      </c>
      <c r="AO49" s="72">
        <v>1</v>
      </c>
      <c r="AP49" s="72">
        <v>7</v>
      </c>
      <c r="AQ49" s="72">
        <v>36</v>
      </c>
      <c r="AR49" s="72" t="s">
        <v>208</v>
      </c>
    </row>
    <row r="50" spans="1:49" x14ac:dyDescent="0.2">
      <c r="B50" s="59" t="s">
        <v>262</v>
      </c>
      <c r="C50" s="60" t="s">
        <v>47</v>
      </c>
      <c r="D50" s="61" t="s">
        <v>263</v>
      </c>
      <c r="E50" s="62" t="s">
        <v>210</v>
      </c>
      <c r="F50" s="62" t="s">
        <v>264</v>
      </c>
      <c r="G50" s="63" t="s">
        <v>265</v>
      </c>
      <c r="H50" s="64">
        <v>46196</v>
      </c>
      <c r="I50" s="65">
        <v>5504</v>
      </c>
      <c r="J50" s="65">
        <v>661</v>
      </c>
      <c r="K50" s="66">
        <v>46168</v>
      </c>
      <c r="L50" s="66">
        <v>4402</v>
      </c>
      <c r="M50" s="66">
        <v>437</v>
      </c>
      <c r="N50" s="62"/>
      <c r="O50" s="62">
        <v>665</v>
      </c>
      <c r="P50" s="62">
        <v>1102</v>
      </c>
      <c r="Q50" s="62">
        <v>-4</v>
      </c>
      <c r="R50" s="62">
        <v>1000</v>
      </c>
      <c r="S50" s="62">
        <v>0</v>
      </c>
      <c r="T50" s="62">
        <v>2.9100000000000001E-2</v>
      </c>
      <c r="U50" s="62">
        <v>0.29099999999999998</v>
      </c>
      <c r="V50" s="62">
        <v>3</v>
      </c>
      <c r="W50" s="62">
        <v>0</v>
      </c>
      <c r="X50" s="62">
        <v>0.03</v>
      </c>
      <c r="Y50" s="62">
        <v>0.03</v>
      </c>
      <c r="Z50" s="67">
        <v>99</v>
      </c>
      <c r="AA50" s="67">
        <v>0</v>
      </c>
      <c r="AB50" s="62">
        <v>2.88</v>
      </c>
      <c r="AC50" s="62">
        <v>0</v>
      </c>
      <c r="AD50" s="62">
        <v>359.22</v>
      </c>
      <c r="AE50" s="62">
        <v>2.88</v>
      </c>
      <c r="AF50" s="68">
        <v>359.22</v>
      </c>
      <c r="AG50" s="68">
        <v>0</v>
      </c>
      <c r="AH50" s="62">
        <v>0</v>
      </c>
      <c r="AI50" s="62">
        <v>0</v>
      </c>
      <c r="AJ50" s="62">
        <v>362.1</v>
      </c>
      <c r="AK50" s="62">
        <v>362.1</v>
      </c>
      <c r="AL50" s="69" t="s">
        <v>266</v>
      </c>
      <c r="AM50" s="62" t="s">
        <v>262</v>
      </c>
      <c r="AN50" s="62">
        <v>45992</v>
      </c>
      <c r="AO50" s="62">
        <v>1</v>
      </c>
      <c r="AP50" s="62">
        <v>7</v>
      </c>
      <c r="AQ50" s="62">
        <v>36</v>
      </c>
      <c r="AR50" s="62" t="s">
        <v>208</v>
      </c>
    </row>
    <row r="51" spans="1:49" x14ac:dyDescent="0.2">
      <c r="B51" s="70" t="s">
        <v>267</v>
      </c>
      <c r="C51" s="71" t="s">
        <v>47</v>
      </c>
      <c r="D51" s="61" t="s">
        <v>203</v>
      </c>
      <c r="E51" s="72" t="s">
        <v>195</v>
      </c>
      <c r="F51" s="72" t="s">
        <v>268</v>
      </c>
      <c r="G51" s="63" t="s">
        <v>269</v>
      </c>
      <c r="H51" s="64">
        <v>46196</v>
      </c>
      <c r="I51" s="65">
        <v>28101</v>
      </c>
      <c r="J51" s="65">
        <v>3818</v>
      </c>
      <c r="K51" s="66">
        <v>46164</v>
      </c>
      <c r="L51" s="66">
        <v>23918</v>
      </c>
      <c r="M51" s="66">
        <v>3376</v>
      </c>
      <c r="N51" s="72"/>
      <c r="O51" s="72"/>
      <c r="P51" s="72">
        <v>4183</v>
      </c>
      <c r="Q51" s="72">
        <v>442</v>
      </c>
      <c r="R51" s="72">
        <v>0</v>
      </c>
      <c r="S51" s="72">
        <v>0</v>
      </c>
      <c r="T51" s="72">
        <v>2.9100000000000001E-2</v>
      </c>
      <c r="U51" s="72">
        <v>0.29099999999999998</v>
      </c>
      <c r="V51" s="72">
        <v>125</v>
      </c>
      <c r="W51" s="72">
        <v>13</v>
      </c>
      <c r="X51" s="72">
        <v>0.03</v>
      </c>
      <c r="Y51" s="72">
        <v>0.03</v>
      </c>
      <c r="Z51" s="67">
        <v>4058</v>
      </c>
      <c r="AA51" s="67">
        <v>429</v>
      </c>
      <c r="AB51" s="72">
        <v>118.09</v>
      </c>
      <c r="AC51" s="72">
        <v>124.84</v>
      </c>
      <c r="AD51" s="72">
        <v>0</v>
      </c>
      <c r="AE51" s="72">
        <v>242.93</v>
      </c>
      <c r="AF51" s="68">
        <v>0</v>
      </c>
      <c r="AG51" s="68">
        <v>0</v>
      </c>
      <c r="AH51" s="72">
        <v>0</v>
      </c>
      <c r="AI51" s="72">
        <v>0</v>
      </c>
      <c r="AJ51" s="72">
        <v>242.93</v>
      </c>
      <c r="AK51" s="72">
        <v>242.93</v>
      </c>
      <c r="AL51" s="69" t="s">
        <v>270</v>
      </c>
      <c r="AM51" s="72" t="s">
        <v>267</v>
      </c>
      <c r="AN51" s="72">
        <v>45992</v>
      </c>
      <c r="AO51" s="72">
        <v>1</v>
      </c>
      <c r="AP51" s="72">
        <v>7</v>
      </c>
      <c r="AQ51" s="72">
        <v>36</v>
      </c>
      <c r="AR51" s="72" t="s">
        <v>208</v>
      </c>
    </row>
    <row r="54" spans="1:49" x14ac:dyDescent="0.2">
      <c r="A54" s="1" t="s">
        <v>271</v>
      </c>
      <c r="B54" s="3" t="s">
        <v>272</v>
      </c>
    </row>
    <row r="55" spans="1:49" x14ac:dyDescent="0.2">
      <c r="B55" s="6" t="s">
        <v>2</v>
      </c>
      <c r="C55" s="6" t="s">
        <v>3</v>
      </c>
      <c r="D55" s="7" t="s">
        <v>4</v>
      </c>
      <c r="E55" s="7" t="s">
        <v>5</v>
      </c>
      <c r="F55" s="7" t="s">
        <v>6</v>
      </c>
      <c r="G55" s="7" t="s">
        <v>7</v>
      </c>
      <c r="H55" s="8" t="s">
        <v>8</v>
      </c>
      <c r="I55" s="9" t="s">
        <v>9</v>
      </c>
      <c r="J55" s="9" t="s">
        <v>10</v>
      </c>
      <c r="K55" s="10" t="s">
        <v>11</v>
      </c>
      <c r="L55" s="11" t="s">
        <v>12</v>
      </c>
      <c r="M55" s="11" t="s">
        <v>13</v>
      </c>
      <c r="N55" s="73" t="s">
        <v>14</v>
      </c>
      <c r="O55" s="73" t="s">
        <v>15</v>
      </c>
      <c r="P55" s="7" t="s">
        <v>16</v>
      </c>
      <c r="Q55" s="7" t="s">
        <v>17</v>
      </c>
      <c r="R55" s="7" t="s">
        <v>18</v>
      </c>
      <c r="S55" s="7" t="s">
        <v>19</v>
      </c>
      <c r="T55" s="7" t="s">
        <v>20</v>
      </c>
      <c r="U55" s="7" t="s">
        <v>21</v>
      </c>
      <c r="V55" s="7" t="s">
        <v>22</v>
      </c>
      <c r="W55" s="7" t="s">
        <v>23</v>
      </c>
      <c r="X55" s="7" t="s">
        <v>24</v>
      </c>
      <c r="Y55" s="7" t="s">
        <v>25</v>
      </c>
      <c r="Z55" s="12" t="s">
        <v>26</v>
      </c>
      <c r="AA55" s="12" t="s">
        <v>27</v>
      </c>
      <c r="AB55" s="7" t="s">
        <v>28</v>
      </c>
      <c r="AC55" s="7" t="s">
        <v>29</v>
      </c>
      <c r="AD55" s="7" t="s">
        <v>30</v>
      </c>
      <c r="AE55" s="7" t="s">
        <v>31</v>
      </c>
      <c r="AF55" s="7" t="s">
        <v>32</v>
      </c>
      <c r="AG55" s="7" t="s">
        <v>1</v>
      </c>
      <c r="AH55" s="7" t="s">
        <v>33</v>
      </c>
      <c r="AI55" s="7" t="s">
        <v>34</v>
      </c>
      <c r="AJ55" s="7" t="s">
        <v>35</v>
      </c>
      <c r="AK55" s="7" t="s">
        <v>36</v>
      </c>
      <c r="AL55" s="7" t="s">
        <v>37</v>
      </c>
      <c r="AM55" s="7" t="s">
        <v>38</v>
      </c>
      <c r="AN55" s="13" t="s">
        <v>39</v>
      </c>
      <c r="AO55" s="14" t="s">
        <v>40</v>
      </c>
      <c r="AP55" s="14" t="s">
        <v>41</v>
      </c>
      <c r="AQ55" s="14" t="s">
        <v>42</v>
      </c>
      <c r="AR55" s="14" t="s">
        <v>43</v>
      </c>
    </row>
    <row r="56" spans="1:49" x14ac:dyDescent="0.2">
      <c r="B56" s="15" t="s">
        <v>273</v>
      </c>
      <c r="C56" s="16" t="s">
        <v>47</v>
      </c>
      <c r="D56" s="36" t="s">
        <v>274</v>
      </c>
      <c r="E56" s="18" t="s">
        <v>275</v>
      </c>
      <c r="F56" s="18" t="s">
        <v>276</v>
      </c>
      <c r="G56" s="19" t="s">
        <v>277</v>
      </c>
      <c r="H56" s="20">
        <v>46196</v>
      </c>
      <c r="I56" s="21">
        <v>3887</v>
      </c>
      <c r="J56" s="21">
        <v>0</v>
      </c>
      <c r="K56" s="22">
        <v>46164</v>
      </c>
      <c r="L56" s="23">
        <v>3373</v>
      </c>
      <c r="M56" s="23">
        <v>0</v>
      </c>
      <c r="N56" s="74">
        <v>5682</v>
      </c>
      <c r="O56" s="74"/>
      <c r="P56" s="18">
        <v>-1795</v>
      </c>
      <c r="Q56" s="18">
        <v>0</v>
      </c>
      <c r="R56" s="18">
        <v>0</v>
      </c>
      <c r="S56" s="18">
        <v>0</v>
      </c>
      <c r="T56" s="18">
        <v>2.912E-2</v>
      </c>
      <c r="U56" s="18">
        <v>0.29120000000000001</v>
      </c>
      <c r="V56" s="18">
        <v>-53</v>
      </c>
      <c r="W56" s="18">
        <v>0</v>
      </c>
      <c r="X56" s="18">
        <v>0.03</v>
      </c>
      <c r="Y56" s="18">
        <v>0.03</v>
      </c>
      <c r="Z56" s="24">
        <v>0</v>
      </c>
      <c r="AA56" s="24">
        <v>0</v>
      </c>
      <c r="AB56" s="18">
        <v>0</v>
      </c>
      <c r="AC56" s="18">
        <v>0</v>
      </c>
      <c r="AD56" s="18">
        <v>185.44</v>
      </c>
      <c r="AE56" s="18">
        <v>0</v>
      </c>
      <c r="AF56" s="3">
        <v>185.44</v>
      </c>
      <c r="AG56" s="3">
        <v>0</v>
      </c>
      <c r="AH56" s="18">
        <v>0</v>
      </c>
      <c r="AI56" s="18">
        <v>0</v>
      </c>
      <c r="AJ56" s="18">
        <v>185.44</v>
      </c>
      <c r="AK56" s="18">
        <v>185.44</v>
      </c>
      <c r="AL56" s="37" t="s">
        <v>278</v>
      </c>
      <c r="AM56" s="18" t="s">
        <v>273</v>
      </c>
      <c r="AN56" s="26">
        <v>45870</v>
      </c>
      <c r="AO56" s="18">
        <v>1</v>
      </c>
      <c r="AP56" s="18">
        <v>11</v>
      </c>
      <c r="AQ56" s="18">
        <v>36</v>
      </c>
      <c r="AR56" s="18" t="s">
        <v>186</v>
      </c>
    </row>
    <row r="57" spans="1:49" x14ac:dyDescent="0.2">
      <c r="B57" s="27" t="s">
        <v>258</v>
      </c>
      <c r="C57" s="28" t="s">
        <v>47</v>
      </c>
      <c r="D57" s="36" t="s">
        <v>254</v>
      </c>
      <c r="E57" s="29" t="s">
        <v>210</v>
      </c>
      <c r="F57" s="29" t="s">
        <v>259</v>
      </c>
      <c r="G57" s="19" t="s">
        <v>260</v>
      </c>
      <c r="H57" s="20">
        <v>46197</v>
      </c>
      <c r="I57" s="21">
        <v>3205</v>
      </c>
      <c r="J57" s="21">
        <v>2089</v>
      </c>
      <c r="K57" s="22">
        <v>46164</v>
      </c>
      <c r="L57" s="23">
        <v>2618</v>
      </c>
      <c r="M57" s="23">
        <v>1344</v>
      </c>
      <c r="N57" s="75">
        <v>3102</v>
      </c>
      <c r="O57" s="75"/>
      <c r="P57" s="29">
        <v>103</v>
      </c>
      <c r="Q57" s="29">
        <v>745</v>
      </c>
      <c r="R57" s="29">
        <v>1000</v>
      </c>
      <c r="S57" s="29">
        <v>0</v>
      </c>
      <c r="T57" s="29">
        <v>2.9100000000000001E-2</v>
      </c>
      <c r="U57" s="29">
        <v>0.29099999999999998</v>
      </c>
      <c r="V57" s="29">
        <v>-26</v>
      </c>
      <c r="W57" s="29">
        <v>22</v>
      </c>
      <c r="X57" s="29">
        <v>0.03</v>
      </c>
      <c r="Y57" s="29">
        <v>0.03</v>
      </c>
      <c r="Z57" s="24">
        <v>0</v>
      </c>
      <c r="AA57" s="24">
        <v>723</v>
      </c>
      <c r="AB57" s="29">
        <v>0</v>
      </c>
      <c r="AC57" s="29">
        <v>210.39</v>
      </c>
      <c r="AD57" s="29">
        <v>359.22</v>
      </c>
      <c r="AE57" s="29">
        <v>210.39</v>
      </c>
      <c r="AF57" s="3">
        <v>359.22</v>
      </c>
      <c r="AG57" s="3">
        <v>0</v>
      </c>
      <c r="AH57" s="29">
        <v>0</v>
      </c>
      <c r="AI57" s="29">
        <v>0</v>
      </c>
      <c r="AJ57" s="29">
        <v>569.61</v>
      </c>
      <c r="AK57" s="29">
        <v>569.61</v>
      </c>
      <c r="AL57" s="37" t="s">
        <v>261</v>
      </c>
      <c r="AM57" s="29" t="s">
        <v>258</v>
      </c>
      <c r="AN57" s="31">
        <v>45992</v>
      </c>
      <c r="AO57" s="29">
        <v>1</v>
      </c>
      <c r="AP57" s="29">
        <v>7</v>
      </c>
      <c r="AQ57" s="29">
        <v>36</v>
      </c>
      <c r="AR57" s="29" t="s">
        <v>208</v>
      </c>
    </row>
    <row r="58" spans="1:49" x14ac:dyDescent="0.2">
      <c r="B58" s="15" t="s">
        <v>279</v>
      </c>
      <c r="C58" s="16" t="s">
        <v>47</v>
      </c>
      <c r="D58" s="36" t="s">
        <v>280</v>
      </c>
      <c r="E58" s="18" t="s">
        <v>281</v>
      </c>
      <c r="F58" s="18" t="s">
        <v>282</v>
      </c>
      <c r="G58" s="19" t="s">
        <v>283</v>
      </c>
      <c r="H58" s="20">
        <v>46192</v>
      </c>
      <c r="I58" s="21">
        <v>312</v>
      </c>
      <c r="J58" s="21">
        <v>0</v>
      </c>
      <c r="K58" s="22">
        <v>46161</v>
      </c>
      <c r="L58" s="23">
        <v>238</v>
      </c>
      <c r="M58" s="23">
        <v>0</v>
      </c>
      <c r="N58" s="74">
        <v>3558</v>
      </c>
      <c r="O58" s="74"/>
      <c r="P58" s="18">
        <v>-3246</v>
      </c>
      <c r="Q58" s="18">
        <v>0</v>
      </c>
      <c r="R58" s="18">
        <v>0</v>
      </c>
      <c r="S58" s="18">
        <v>0</v>
      </c>
      <c r="T58" s="18">
        <v>2.4199999999999999E-2</v>
      </c>
      <c r="U58" s="18">
        <v>0.29120000000000001</v>
      </c>
      <c r="V58" s="18">
        <v>0</v>
      </c>
      <c r="W58" s="18">
        <v>0</v>
      </c>
      <c r="X58" s="18">
        <v>0</v>
      </c>
      <c r="Y58" s="18">
        <v>0</v>
      </c>
      <c r="Z58" s="24">
        <v>0</v>
      </c>
      <c r="AA58" s="24">
        <v>0</v>
      </c>
      <c r="AB58" s="18">
        <v>0</v>
      </c>
      <c r="AC58" s="18">
        <v>0</v>
      </c>
      <c r="AD58" s="18">
        <v>291.26</v>
      </c>
      <c r="AE58" s="18">
        <v>0</v>
      </c>
      <c r="AF58" s="3">
        <v>291.26</v>
      </c>
      <c r="AG58" s="3">
        <v>0</v>
      </c>
      <c r="AH58" s="18">
        <v>0</v>
      </c>
      <c r="AI58" s="18">
        <v>0</v>
      </c>
      <c r="AJ58" s="18">
        <v>291.26</v>
      </c>
      <c r="AK58" s="18">
        <v>291.26</v>
      </c>
      <c r="AL58" s="37" t="s">
        <v>284</v>
      </c>
      <c r="AM58" s="18" t="s">
        <v>279</v>
      </c>
      <c r="AN58" s="26">
        <v>46023</v>
      </c>
      <c r="AO58" s="18">
        <v>1</v>
      </c>
      <c r="AP58" s="18">
        <v>6</v>
      </c>
      <c r="AQ58" s="18">
        <v>36</v>
      </c>
      <c r="AR58" s="18" t="s">
        <v>285</v>
      </c>
    </row>
    <row r="60" spans="1:49" x14ac:dyDescent="0.2">
      <c r="A60" s="1" t="s">
        <v>286</v>
      </c>
      <c r="B60" s="3" t="s">
        <v>287</v>
      </c>
    </row>
    <row r="61" spans="1:49" s="76" customFormat="1" ht="63.75" x14ac:dyDescent="0.2">
      <c r="B61" s="77" t="s">
        <v>2</v>
      </c>
      <c r="C61" s="77" t="s">
        <v>3</v>
      </c>
      <c r="D61" s="78" t="s">
        <v>4</v>
      </c>
      <c r="E61" s="78" t="s">
        <v>5</v>
      </c>
      <c r="F61" s="78" t="s">
        <v>6</v>
      </c>
      <c r="G61" s="78" t="s">
        <v>7</v>
      </c>
      <c r="H61" s="79" t="s">
        <v>8</v>
      </c>
      <c r="I61" s="80" t="s">
        <v>9</v>
      </c>
      <c r="J61" s="80" t="s">
        <v>10</v>
      </c>
      <c r="K61" s="81" t="s">
        <v>11</v>
      </c>
      <c r="L61" s="82" t="s">
        <v>12</v>
      </c>
      <c r="M61" s="82" t="s">
        <v>13</v>
      </c>
      <c r="N61" s="78" t="s">
        <v>14</v>
      </c>
      <c r="O61" s="78" t="s">
        <v>15</v>
      </c>
      <c r="P61" s="78" t="s">
        <v>16</v>
      </c>
      <c r="Q61" s="78" t="s">
        <v>17</v>
      </c>
      <c r="R61" s="78" t="s">
        <v>18</v>
      </c>
      <c r="S61" s="78" t="s">
        <v>19</v>
      </c>
      <c r="T61" s="78" t="s">
        <v>20</v>
      </c>
      <c r="U61" s="78" t="s">
        <v>21</v>
      </c>
      <c r="V61" s="78" t="s">
        <v>22</v>
      </c>
      <c r="W61" s="78" t="s">
        <v>23</v>
      </c>
      <c r="X61" s="78" t="s">
        <v>24</v>
      </c>
      <c r="Y61" s="78" t="s">
        <v>25</v>
      </c>
      <c r="Z61" s="83" t="s">
        <v>26</v>
      </c>
      <c r="AA61" s="83" t="s">
        <v>27</v>
      </c>
      <c r="AB61" s="78" t="s">
        <v>28</v>
      </c>
      <c r="AC61" s="78" t="s">
        <v>29</v>
      </c>
      <c r="AD61" s="78" t="s">
        <v>30</v>
      </c>
      <c r="AE61" s="78" t="s">
        <v>31</v>
      </c>
      <c r="AF61" s="78" t="s">
        <v>32</v>
      </c>
      <c r="AG61" s="78" t="s">
        <v>1</v>
      </c>
      <c r="AH61" s="78" t="s">
        <v>33</v>
      </c>
      <c r="AI61" s="78" t="s">
        <v>34</v>
      </c>
      <c r="AJ61" s="78" t="s">
        <v>35</v>
      </c>
      <c r="AK61" s="78" t="s">
        <v>36</v>
      </c>
      <c r="AL61" s="78" t="s">
        <v>37</v>
      </c>
      <c r="AM61" s="78" t="s">
        <v>38</v>
      </c>
      <c r="AN61" s="84" t="s">
        <v>39</v>
      </c>
      <c r="AO61" s="85" t="s">
        <v>40</v>
      </c>
      <c r="AP61" s="85" t="s">
        <v>41</v>
      </c>
      <c r="AQ61" s="85" t="s">
        <v>42</v>
      </c>
      <c r="AR61" s="85" t="s">
        <v>43</v>
      </c>
      <c r="AS61" s="86" t="s">
        <v>288</v>
      </c>
      <c r="AT61" s="86" t="s">
        <v>289</v>
      </c>
      <c r="AU61" s="86"/>
      <c r="AV61" s="86"/>
      <c r="AW61" s="86"/>
    </row>
    <row r="62" spans="1:49" x14ac:dyDescent="0.2">
      <c r="B62" s="15" t="s">
        <v>290</v>
      </c>
      <c r="C62" s="16" t="s">
        <v>47</v>
      </c>
      <c r="D62" s="36" t="s">
        <v>291</v>
      </c>
      <c r="E62" s="18" t="s">
        <v>210</v>
      </c>
      <c r="F62" s="18" t="s">
        <v>292</v>
      </c>
      <c r="G62" s="19" t="s">
        <v>293</v>
      </c>
      <c r="H62" s="20">
        <v>46196</v>
      </c>
      <c r="I62" s="21">
        <v>7334</v>
      </c>
      <c r="J62" s="21">
        <v>177</v>
      </c>
      <c r="K62" s="22">
        <v>45929</v>
      </c>
      <c r="L62" s="23">
        <v>0</v>
      </c>
      <c r="M62" s="23">
        <v>9</v>
      </c>
      <c r="N62" s="18"/>
      <c r="O62" s="18"/>
      <c r="P62" s="18">
        <v>5594</v>
      </c>
      <c r="Q62" s="18">
        <v>566</v>
      </c>
      <c r="R62" s="18">
        <v>11000</v>
      </c>
      <c r="S62" s="18">
        <v>500</v>
      </c>
      <c r="T62" s="18">
        <v>2.8000000000000001E-2</v>
      </c>
      <c r="U62" s="18">
        <v>0.28000000000000003</v>
      </c>
      <c r="V62" s="18">
        <v>0</v>
      </c>
      <c r="W62" s="18">
        <v>0</v>
      </c>
      <c r="X62" s="18">
        <v>0</v>
      </c>
      <c r="Y62" s="18">
        <v>0</v>
      </c>
      <c r="Z62" s="24">
        <v>0</v>
      </c>
      <c r="AA62" s="24">
        <v>66</v>
      </c>
      <c r="AB62" s="18">
        <v>0</v>
      </c>
      <c r="AC62" s="18">
        <v>18.48</v>
      </c>
      <c r="AD62" s="18">
        <v>609.9</v>
      </c>
      <c r="AE62" s="18">
        <v>18.48</v>
      </c>
      <c r="AF62" s="3">
        <v>609.9</v>
      </c>
      <c r="AG62" s="3">
        <v>0</v>
      </c>
      <c r="AH62" s="18">
        <v>0</v>
      </c>
      <c r="AI62" s="18">
        <v>0</v>
      </c>
      <c r="AJ62" s="18">
        <v>628.38</v>
      </c>
      <c r="AK62" s="18">
        <v>0</v>
      </c>
      <c r="AL62" s="87" t="s">
        <v>107</v>
      </c>
      <c r="AM62" s="18" t="s">
        <v>294</v>
      </c>
      <c r="AN62" s="26">
        <v>45931</v>
      </c>
      <c r="AO62" s="18">
        <v>1</v>
      </c>
      <c r="AP62" s="18">
        <v>9</v>
      </c>
      <c r="AQ62" s="18">
        <v>36</v>
      </c>
      <c r="AR62" s="18" t="s">
        <v>295</v>
      </c>
      <c r="AS62" s="5">
        <f>I62-L62-R62</f>
        <v>-3666</v>
      </c>
      <c r="AT62" s="5">
        <f>M62-J62-S62</f>
        <v>-668</v>
      </c>
    </row>
    <row r="63" spans="1:49" x14ac:dyDescent="0.2">
      <c r="B63" s="27" t="s">
        <v>296</v>
      </c>
      <c r="C63" s="28" t="s">
        <v>47</v>
      </c>
      <c r="D63" s="36" t="s">
        <v>297</v>
      </c>
      <c r="E63" s="29" t="s">
        <v>281</v>
      </c>
      <c r="F63" s="29" t="s">
        <v>298</v>
      </c>
      <c r="G63" s="19" t="s">
        <v>299</v>
      </c>
      <c r="H63" s="20">
        <v>46196</v>
      </c>
      <c r="I63" s="21">
        <v>7141</v>
      </c>
      <c r="J63" s="21">
        <v>0</v>
      </c>
      <c r="K63" s="22">
        <v>45929</v>
      </c>
      <c r="L63" s="23">
        <v>9</v>
      </c>
      <c r="M63" s="23">
        <v>0</v>
      </c>
      <c r="N63" s="29"/>
      <c r="O63" s="29"/>
      <c r="P63" s="29">
        <v>6947</v>
      </c>
      <c r="Q63" s="29">
        <v>0</v>
      </c>
      <c r="R63" s="29">
        <v>11000</v>
      </c>
      <c r="S63" s="29">
        <v>0</v>
      </c>
      <c r="T63" s="29">
        <v>2.8000000000000001E-2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4">
        <v>0</v>
      </c>
      <c r="AA63" s="24">
        <v>0</v>
      </c>
      <c r="AB63" s="29">
        <v>0</v>
      </c>
      <c r="AC63" s="29">
        <v>0</v>
      </c>
      <c r="AD63" s="29">
        <v>402.8</v>
      </c>
      <c r="AE63" s="29">
        <v>0</v>
      </c>
      <c r="AF63" s="3">
        <v>402.8</v>
      </c>
      <c r="AG63" s="3">
        <v>0</v>
      </c>
      <c r="AH63" s="29">
        <v>0</v>
      </c>
      <c r="AI63" s="29">
        <v>0</v>
      </c>
      <c r="AJ63" s="29">
        <v>402.8</v>
      </c>
      <c r="AK63" s="29">
        <v>0</v>
      </c>
      <c r="AL63" s="87" t="s">
        <v>107</v>
      </c>
      <c r="AM63" s="29" t="s">
        <v>294</v>
      </c>
      <c r="AN63" s="31">
        <v>45931</v>
      </c>
      <c r="AO63" s="29">
        <v>1</v>
      </c>
      <c r="AP63" s="29">
        <v>9</v>
      </c>
      <c r="AQ63" s="29">
        <v>36</v>
      </c>
      <c r="AR63" s="29" t="s">
        <v>295</v>
      </c>
      <c r="AS63" s="5">
        <f t="shared" ref="AS63:AS93" si="0">I63-L63-R63</f>
        <v>-3868</v>
      </c>
      <c r="AT63" s="5">
        <f t="shared" ref="AT63:AT93" si="1">M63-J63-S63</f>
        <v>0</v>
      </c>
    </row>
    <row r="64" spans="1:49" x14ac:dyDescent="0.2">
      <c r="B64" s="15" t="s">
        <v>300</v>
      </c>
      <c r="C64" s="16" t="s">
        <v>47</v>
      </c>
      <c r="D64" s="36" t="s">
        <v>301</v>
      </c>
      <c r="E64" s="18" t="s">
        <v>281</v>
      </c>
      <c r="F64" s="18" t="s">
        <v>302</v>
      </c>
      <c r="G64" s="19" t="s">
        <v>303</v>
      </c>
      <c r="H64" s="20">
        <v>46196</v>
      </c>
      <c r="I64" s="21">
        <v>3884</v>
      </c>
      <c r="J64" s="21">
        <v>0</v>
      </c>
      <c r="K64" s="22">
        <v>45929</v>
      </c>
      <c r="L64" s="23">
        <v>9</v>
      </c>
      <c r="M64" s="23">
        <v>0</v>
      </c>
      <c r="N64" s="18"/>
      <c r="O64" s="18"/>
      <c r="P64" s="18">
        <v>2772</v>
      </c>
      <c r="Q64" s="18">
        <v>0</v>
      </c>
      <c r="R64" s="18">
        <v>11000</v>
      </c>
      <c r="S64" s="18">
        <v>0</v>
      </c>
      <c r="T64" s="18">
        <v>2.8000000000000001E-2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24">
        <v>0</v>
      </c>
      <c r="AA64" s="24">
        <v>0</v>
      </c>
      <c r="AB64" s="18">
        <v>0</v>
      </c>
      <c r="AC64" s="18">
        <v>0</v>
      </c>
      <c r="AD64" s="18">
        <v>402.8</v>
      </c>
      <c r="AE64" s="18">
        <v>0</v>
      </c>
      <c r="AF64" s="3">
        <v>402.8</v>
      </c>
      <c r="AG64" s="3">
        <v>0</v>
      </c>
      <c r="AH64" s="18">
        <v>0</v>
      </c>
      <c r="AI64" s="18">
        <v>0</v>
      </c>
      <c r="AJ64" s="18">
        <v>402.8</v>
      </c>
      <c r="AK64" s="18">
        <v>0</v>
      </c>
      <c r="AL64" s="87" t="s">
        <v>107</v>
      </c>
      <c r="AM64" s="18" t="s">
        <v>294</v>
      </c>
      <c r="AN64" s="26">
        <v>45931</v>
      </c>
      <c r="AO64" s="18">
        <v>1</v>
      </c>
      <c r="AP64" s="18">
        <v>9</v>
      </c>
      <c r="AQ64" s="18">
        <v>36</v>
      </c>
      <c r="AR64" s="18" t="s">
        <v>295</v>
      </c>
      <c r="AS64" s="5">
        <f t="shared" si="0"/>
        <v>-7125</v>
      </c>
      <c r="AT64" s="5">
        <f t="shared" si="1"/>
        <v>0</v>
      </c>
    </row>
    <row r="65" spans="2:46" x14ac:dyDescent="0.2">
      <c r="B65" s="27" t="s">
        <v>304</v>
      </c>
      <c r="C65" s="28" t="s">
        <v>47</v>
      </c>
      <c r="D65" s="36" t="s">
        <v>305</v>
      </c>
      <c r="E65" s="29" t="s">
        <v>281</v>
      </c>
      <c r="F65" s="29" t="s">
        <v>306</v>
      </c>
      <c r="G65" s="19" t="s">
        <v>307</v>
      </c>
      <c r="H65" s="20">
        <v>46196</v>
      </c>
      <c r="I65" s="21">
        <v>1617</v>
      </c>
      <c r="J65" s="21">
        <v>0</v>
      </c>
      <c r="K65" s="22">
        <v>45929</v>
      </c>
      <c r="L65" s="23">
        <v>9</v>
      </c>
      <c r="M65" s="23">
        <v>0</v>
      </c>
      <c r="N65" s="29"/>
      <c r="O65" s="29"/>
      <c r="P65" s="29">
        <v>1658</v>
      </c>
      <c r="Q65" s="29">
        <v>0</v>
      </c>
      <c r="R65" s="29">
        <v>11000</v>
      </c>
      <c r="S65" s="29">
        <v>0</v>
      </c>
      <c r="T65" s="29">
        <v>2.8000000000000001E-2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4">
        <v>0</v>
      </c>
      <c r="AA65" s="24">
        <v>0</v>
      </c>
      <c r="AB65" s="29">
        <v>0</v>
      </c>
      <c r="AC65" s="29">
        <v>0</v>
      </c>
      <c r="AD65" s="29">
        <v>402.8</v>
      </c>
      <c r="AE65" s="29">
        <v>0</v>
      </c>
      <c r="AF65" s="3">
        <v>402.8</v>
      </c>
      <c r="AG65" s="3">
        <v>0</v>
      </c>
      <c r="AH65" s="29">
        <v>0</v>
      </c>
      <c r="AI65" s="29">
        <v>0</v>
      </c>
      <c r="AJ65" s="29">
        <v>402.8</v>
      </c>
      <c r="AK65" s="29">
        <v>0</v>
      </c>
      <c r="AL65" s="87" t="s">
        <v>107</v>
      </c>
      <c r="AM65" s="29" t="s">
        <v>294</v>
      </c>
      <c r="AN65" s="31">
        <v>45931</v>
      </c>
      <c r="AO65" s="29">
        <v>1</v>
      </c>
      <c r="AP65" s="29">
        <v>9</v>
      </c>
      <c r="AQ65" s="29">
        <v>36</v>
      </c>
      <c r="AR65" s="29" t="s">
        <v>295</v>
      </c>
      <c r="AS65" s="5">
        <f t="shared" si="0"/>
        <v>-9392</v>
      </c>
      <c r="AT65" s="5">
        <f t="shared" si="1"/>
        <v>0</v>
      </c>
    </row>
    <row r="66" spans="2:46" x14ac:dyDescent="0.2">
      <c r="B66" s="15" t="s">
        <v>308</v>
      </c>
      <c r="C66" s="16" t="s">
        <v>47</v>
      </c>
      <c r="D66" s="36" t="s">
        <v>309</v>
      </c>
      <c r="E66" s="18" t="s">
        <v>281</v>
      </c>
      <c r="F66" s="18" t="s">
        <v>310</v>
      </c>
      <c r="G66" s="19" t="s">
        <v>311</v>
      </c>
      <c r="H66" s="20">
        <v>46197</v>
      </c>
      <c r="I66" s="21">
        <v>2660</v>
      </c>
      <c r="J66" s="21">
        <v>0</v>
      </c>
      <c r="K66" s="22">
        <v>45929</v>
      </c>
      <c r="L66" s="23">
        <v>32</v>
      </c>
      <c r="M66" s="23">
        <v>0</v>
      </c>
      <c r="N66" s="18"/>
      <c r="O66" s="18"/>
      <c r="P66" s="18">
        <v>6360</v>
      </c>
      <c r="Q66" s="18">
        <v>0</v>
      </c>
      <c r="R66" s="18">
        <v>11000</v>
      </c>
      <c r="S66" s="18">
        <v>0</v>
      </c>
      <c r="T66" s="18">
        <v>2.8000000000000001E-2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24">
        <v>0</v>
      </c>
      <c r="AA66" s="24">
        <v>0</v>
      </c>
      <c r="AB66" s="18">
        <v>0</v>
      </c>
      <c r="AC66" s="18">
        <v>0</v>
      </c>
      <c r="AD66" s="18">
        <v>402.8</v>
      </c>
      <c r="AE66" s="18">
        <v>0</v>
      </c>
      <c r="AF66" s="3">
        <v>402.8</v>
      </c>
      <c r="AG66" s="3">
        <v>0</v>
      </c>
      <c r="AH66" s="18">
        <v>0</v>
      </c>
      <c r="AI66" s="18">
        <v>0</v>
      </c>
      <c r="AJ66" s="18">
        <v>402.8</v>
      </c>
      <c r="AK66" s="18">
        <v>0</v>
      </c>
      <c r="AL66" s="87" t="s">
        <v>107</v>
      </c>
      <c r="AM66" s="18" t="s">
        <v>294</v>
      </c>
      <c r="AN66" s="26">
        <v>45931</v>
      </c>
      <c r="AO66" s="18">
        <v>1</v>
      </c>
      <c r="AP66" s="18">
        <v>9</v>
      </c>
      <c r="AQ66" s="18">
        <v>36</v>
      </c>
      <c r="AR66" s="18" t="s">
        <v>295</v>
      </c>
      <c r="AS66" s="5">
        <f t="shared" si="0"/>
        <v>-8372</v>
      </c>
      <c r="AT66" s="5">
        <f t="shared" si="1"/>
        <v>0</v>
      </c>
    </row>
    <row r="67" spans="2:46" x14ac:dyDescent="0.2">
      <c r="B67" s="27" t="s">
        <v>312</v>
      </c>
      <c r="C67" s="28" t="s">
        <v>47</v>
      </c>
      <c r="D67" s="36" t="s">
        <v>313</v>
      </c>
      <c r="E67" s="29" t="s">
        <v>281</v>
      </c>
      <c r="F67" s="29" t="s">
        <v>314</v>
      </c>
      <c r="G67" s="19" t="s">
        <v>315</v>
      </c>
      <c r="H67" s="20">
        <v>46197</v>
      </c>
      <c r="I67" s="21">
        <v>11050</v>
      </c>
      <c r="J67" s="21">
        <v>0</v>
      </c>
      <c r="K67" s="22">
        <v>45929</v>
      </c>
      <c r="L67" s="23">
        <v>31</v>
      </c>
      <c r="M67" s="23">
        <v>0</v>
      </c>
      <c r="N67" s="29"/>
      <c r="O67" s="29"/>
      <c r="P67" s="29">
        <v>12731</v>
      </c>
      <c r="Q67" s="29">
        <v>0</v>
      </c>
      <c r="R67" s="29">
        <v>11000</v>
      </c>
      <c r="S67" s="29">
        <v>0</v>
      </c>
      <c r="T67" s="29">
        <v>2.8000000000000001E-2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4">
        <v>1731</v>
      </c>
      <c r="AA67" s="24">
        <v>0</v>
      </c>
      <c r="AB67" s="29">
        <v>48.47</v>
      </c>
      <c r="AC67" s="29">
        <v>0</v>
      </c>
      <c r="AD67" s="29">
        <v>402.8</v>
      </c>
      <c r="AE67" s="29">
        <v>48.47</v>
      </c>
      <c r="AF67" s="3">
        <v>402.8</v>
      </c>
      <c r="AG67" s="3">
        <v>0</v>
      </c>
      <c r="AH67" s="29">
        <v>0</v>
      </c>
      <c r="AI67" s="29">
        <v>0</v>
      </c>
      <c r="AJ67" s="29">
        <v>451.27</v>
      </c>
      <c r="AK67" s="29">
        <v>0</v>
      </c>
      <c r="AL67" s="87" t="s">
        <v>107</v>
      </c>
      <c r="AM67" s="29" t="s">
        <v>294</v>
      </c>
      <c r="AN67" s="31">
        <v>45931</v>
      </c>
      <c r="AO67" s="29">
        <v>1</v>
      </c>
      <c r="AP67" s="29">
        <v>9</v>
      </c>
      <c r="AQ67" s="29">
        <v>36</v>
      </c>
      <c r="AR67" s="29" t="s">
        <v>295</v>
      </c>
      <c r="AS67" s="5">
        <f t="shared" si="0"/>
        <v>19</v>
      </c>
      <c r="AT67" s="5">
        <f t="shared" si="1"/>
        <v>0</v>
      </c>
    </row>
    <row r="68" spans="2:46" x14ac:dyDescent="0.2">
      <c r="B68" s="15" t="s">
        <v>316</v>
      </c>
      <c r="C68" s="16" t="s">
        <v>47</v>
      </c>
      <c r="D68" s="36" t="s">
        <v>317</v>
      </c>
      <c r="E68" s="18" t="s">
        <v>281</v>
      </c>
      <c r="F68" s="18" t="s">
        <v>318</v>
      </c>
      <c r="G68" s="19" t="s">
        <v>319</v>
      </c>
      <c r="H68" s="20">
        <v>46197</v>
      </c>
      <c r="I68" s="21">
        <v>4191</v>
      </c>
      <c r="J68" s="21">
        <v>0</v>
      </c>
      <c r="K68" s="22">
        <v>45929</v>
      </c>
      <c r="L68" s="23">
        <v>37</v>
      </c>
      <c r="M68" s="23">
        <v>0</v>
      </c>
      <c r="N68" s="18"/>
      <c r="O68" s="18"/>
      <c r="P68" s="18">
        <v>4209</v>
      </c>
      <c r="Q68" s="18">
        <v>0</v>
      </c>
      <c r="R68" s="18">
        <v>11000</v>
      </c>
      <c r="S68" s="18">
        <v>0</v>
      </c>
      <c r="T68" s="18">
        <v>2.8000000000000001E-2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4">
        <v>0</v>
      </c>
      <c r="AA68" s="24">
        <v>0</v>
      </c>
      <c r="AB68" s="18">
        <v>0</v>
      </c>
      <c r="AC68" s="18">
        <v>0</v>
      </c>
      <c r="AD68" s="18">
        <v>402.8</v>
      </c>
      <c r="AE68" s="18">
        <v>0</v>
      </c>
      <c r="AF68" s="3">
        <v>402.8</v>
      </c>
      <c r="AG68" s="3">
        <v>0</v>
      </c>
      <c r="AH68" s="18">
        <v>0</v>
      </c>
      <c r="AI68" s="18">
        <v>0</v>
      </c>
      <c r="AJ68" s="18">
        <v>402.8</v>
      </c>
      <c r="AK68" s="18">
        <v>0</v>
      </c>
      <c r="AL68" s="87" t="s">
        <v>107</v>
      </c>
      <c r="AM68" s="18" t="s">
        <v>294</v>
      </c>
      <c r="AN68" s="26">
        <v>45931</v>
      </c>
      <c r="AO68" s="18">
        <v>1</v>
      </c>
      <c r="AP68" s="18">
        <v>9</v>
      </c>
      <c r="AQ68" s="18">
        <v>36</v>
      </c>
      <c r="AR68" s="18" t="s">
        <v>295</v>
      </c>
      <c r="AS68" s="5">
        <f t="shared" si="0"/>
        <v>-6846</v>
      </c>
      <c r="AT68" s="5">
        <f t="shared" si="1"/>
        <v>0</v>
      </c>
    </row>
    <row r="69" spans="2:46" x14ac:dyDescent="0.2">
      <c r="B69" s="27" t="s">
        <v>320</v>
      </c>
      <c r="C69" s="28" t="s">
        <v>47</v>
      </c>
      <c r="D69" s="36" t="s">
        <v>321</v>
      </c>
      <c r="E69" s="29" t="s">
        <v>281</v>
      </c>
      <c r="F69" s="29" t="s">
        <v>322</v>
      </c>
      <c r="G69" s="19" t="s">
        <v>323</v>
      </c>
      <c r="H69" s="20">
        <v>46197</v>
      </c>
      <c r="I69" s="21">
        <v>11085</v>
      </c>
      <c r="J69" s="21">
        <v>0</v>
      </c>
      <c r="K69" s="22">
        <v>45929</v>
      </c>
      <c r="L69" s="23">
        <v>64</v>
      </c>
      <c r="M69" s="23">
        <v>0</v>
      </c>
      <c r="N69" s="29"/>
      <c r="O69" s="29"/>
      <c r="P69" s="29">
        <v>5391</v>
      </c>
      <c r="Q69" s="29">
        <v>0</v>
      </c>
      <c r="R69" s="29">
        <v>11000</v>
      </c>
      <c r="S69" s="29">
        <v>0</v>
      </c>
      <c r="T69" s="29">
        <v>2.8000000000000001E-2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4">
        <v>0</v>
      </c>
      <c r="AA69" s="24">
        <v>0</v>
      </c>
      <c r="AB69" s="29">
        <v>0</v>
      </c>
      <c r="AC69" s="29">
        <v>0</v>
      </c>
      <c r="AD69" s="29">
        <v>402.8</v>
      </c>
      <c r="AE69" s="29">
        <v>0</v>
      </c>
      <c r="AF69" s="3">
        <v>402.8</v>
      </c>
      <c r="AG69" s="3">
        <v>0</v>
      </c>
      <c r="AH69" s="29">
        <v>0</v>
      </c>
      <c r="AI69" s="29">
        <v>0</v>
      </c>
      <c r="AJ69" s="29">
        <v>402.8</v>
      </c>
      <c r="AK69" s="29">
        <v>0</v>
      </c>
      <c r="AL69" s="87" t="s">
        <v>107</v>
      </c>
      <c r="AM69" s="29" t="s">
        <v>294</v>
      </c>
      <c r="AN69" s="31">
        <v>45931</v>
      </c>
      <c r="AO69" s="29">
        <v>1</v>
      </c>
      <c r="AP69" s="29">
        <v>9</v>
      </c>
      <c r="AQ69" s="29">
        <v>36</v>
      </c>
      <c r="AR69" s="29" t="s">
        <v>295</v>
      </c>
      <c r="AS69" s="5">
        <f t="shared" si="0"/>
        <v>21</v>
      </c>
      <c r="AT69" s="5">
        <f t="shared" si="1"/>
        <v>0</v>
      </c>
    </row>
    <row r="70" spans="2:46" x14ac:dyDescent="0.2">
      <c r="B70" s="15" t="s">
        <v>324</v>
      </c>
      <c r="C70" s="16" t="s">
        <v>47</v>
      </c>
      <c r="D70" s="36" t="s">
        <v>325</v>
      </c>
      <c r="E70" s="18" t="s">
        <v>281</v>
      </c>
      <c r="F70" s="18" t="s">
        <v>326</v>
      </c>
      <c r="G70" s="19" t="s">
        <v>327</v>
      </c>
      <c r="H70" s="20">
        <v>46203</v>
      </c>
      <c r="I70" s="21">
        <v>4687</v>
      </c>
      <c r="J70" s="21">
        <v>0</v>
      </c>
      <c r="K70" s="22">
        <v>45929</v>
      </c>
      <c r="L70" s="23">
        <v>42</v>
      </c>
      <c r="M70" s="23">
        <v>0</v>
      </c>
      <c r="N70" s="18"/>
      <c r="O70" s="18"/>
      <c r="P70" s="18">
        <v>6541</v>
      </c>
      <c r="Q70" s="18">
        <v>0</v>
      </c>
      <c r="R70" s="18">
        <v>11000</v>
      </c>
      <c r="S70" s="18">
        <v>0</v>
      </c>
      <c r="T70" s="18">
        <v>2.8000000000000001E-2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24">
        <v>0</v>
      </c>
      <c r="AA70" s="24">
        <v>0</v>
      </c>
      <c r="AB70" s="18">
        <v>0</v>
      </c>
      <c r="AC70" s="18">
        <v>0</v>
      </c>
      <c r="AD70" s="18">
        <v>402.8</v>
      </c>
      <c r="AE70" s="18">
        <v>0</v>
      </c>
      <c r="AF70" s="3">
        <v>402.8</v>
      </c>
      <c r="AG70" s="3">
        <v>0</v>
      </c>
      <c r="AH70" s="18">
        <v>0</v>
      </c>
      <c r="AI70" s="18">
        <v>0</v>
      </c>
      <c r="AJ70" s="18">
        <v>402.8</v>
      </c>
      <c r="AK70" s="18">
        <v>0</v>
      </c>
      <c r="AL70" s="87" t="s">
        <v>107</v>
      </c>
      <c r="AM70" s="18" t="s">
        <v>294</v>
      </c>
      <c r="AN70" s="26">
        <v>45931</v>
      </c>
      <c r="AO70" s="18">
        <v>1</v>
      </c>
      <c r="AP70" s="18">
        <v>9</v>
      </c>
      <c r="AQ70" s="18">
        <v>36</v>
      </c>
      <c r="AR70" s="18" t="s">
        <v>295</v>
      </c>
      <c r="AS70" s="5">
        <f t="shared" si="0"/>
        <v>-6355</v>
      </c>
      <c r="AT70" s="5">
        <f t="shared" si="1"/>
        <v>0</v>
      </c>
    </row>
    <row r="71" spans="2:46" x14ac:dyDescent="0.2">
      <c r="B71" s="27" t="s">
        <v>328</v>
      </c>
      <c r="C71" s="28" t="s">
        <v>47</v>
      </c>
      <c r="D71" s="36" t="s">
        <v>329</v>
      </c>
      <c r="E71" s="29" t="s">
        <v>281</v>
      </c>
      <c r="F71" s="29" t="s">
        <v>330</v>
      </c>
      <c r="G71" s="19" t="s">
        <v>331</v>
      </c>
      <c r="H71" s="20">
        <v>46197</v>
      </c>
      <c r="I71" s="21">
        <v>4159</v>
      </c>
      <c r="J71" s="21">
        <v>0</v>
      </c>
      <c r="K71" s="22">
        <v>45929</v>
      </c>
      <c r="L71" s="23">
        <v>40</v>
      </c>
      <c r="M71" s="23">
        <v>0</v>
      </c>
      <c r="N71" s="29"/>
      <c r="O71" s="29"/>
      <c r="P71" s="29">
        <v>4261</v>
      </c>
      <c r="Q71" s="29">
        <v>0</v>
      </c>
      <c r="R71" s="29">
        <v>11000</v>
      </c>
      <c r="S71" s="29">
        <v>0</v>
      </c>
      <c r="T71" s="29">
        <v>2.8000000000000001E-2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4">
        <v>0</v>
      </c>
      <c r="AA71" s="24">
        <v>0</v>
      </c>
      <c r="AB71" s="29">
        <v>0</v>
      </c>
      <c r="AC71" s="29">
        <v>0</v>
      </c>
      <c r="AD71" s="29">
        <v>402.8</v>
      </c>
      <c r="AE71" s="29">
        <v>0</v>
      </c>
      <c r="AF71" s="3">
        <v>402.8</v>
      </c>
      <c r="AG71" s="3">
        <v>0</v>
      </c>
      <c r="AH71" s="29">
        <v>0</v>
      </c>
      <c r="AI71" s="29">
        <v>0</v>
      </c>
      <c r="AJ71" s="29">
        <v>402.8</v>
      </c>
      <c r="AK71" s="29">
        <v>0</v>
      </c>
      <c r="AL71" s="87" t="s">
        <v>107</v>
      </c>
      <c r="AM71" s="29" t="s">
        <v>294</v>
      </c>
      <c r="AN71" s="31">
        <v>45931</v>
      </c>
      <c r="AO71" s="29">
        <v>1</v>
      </c>
      <c r="AP71" s="29">
        <v>9</v>
      </c>
      <c r="AQ71" s="29">
        <v>36</v>
      </c>
      <c r="AR71" s="29" t="s">
        <v>295</v>
      </c>
      <c r="AS71" s="5">
        <f t="shared" si="0"/>
        <v>-6881</v>
      </c>
      <c r="AT71" s="5">
        <f t="shared" si="1"/>
        <v>0</v>
      </c>
    </row>
    <row r="72" spans="2:46" x14ac:dyDescent="0.2">
      <c r="B72" s="15" t="s">
        <v>332</v>
      </c>
      <c r="C72" s="16" t="s">
        <v>47</v>
      </c>
      <c r="D72" s="36" t="s">
        <v>333</v>
      </c>
      <c r="E72" s="18" t="s">
        <v>281</v>
      </c>
      <c r="F72" s="18" t="s">
        <v>334</v>
      </c>
      <c r="G72" s="19" t="s">
        <v>335</v>
      </c>
      <c r="H72" s="20">
        <v>46203</v>
      </c>
      <c r="I72" s="21">
        <v>2631</v>
      </c>
      <c r="J72" s="21">
        <v>0</v>
      </c>
      <c r="K72" s="22">
        <v>45929</v>
      </c>
      <c r="L72" s="23">
        <v>26</v>
      </c>
      <c r="M72" s="23">
        <v>0</v>
      </c>
      <c r="N72" s="18"/>
      <c r="O72" s="18"/>
      <c r="P72" s="18">
        <v>1837</v>
      </c>
      <c r="Q72" s="18">
        <v>0</v>
      </c>
      <c r="R72" s="18">
        <v>11000</v>
      </c>
      <c r="S72" s="18">
        <v>0</v>
      </c>
      <c r="T72" s="18">
        <v>2.8000000000000001E-2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24">
        <v>0</v>
      </c>
      <c r="AA72" s="24">
        <v>0</v>
      </c>
      <c r="AB72" s="18">
        <v>0</v>
      </c>
      <c r="AC72" s="18">
        <v>0</v>
      </c>
      <c r="AD72" s="18">
        <v>402.8</v>
      </c>
      <c r="AE72" s="18">
        <v>0</v>
      </c>
      <c r="AF72" s="3">
        <v>402.8</v>
      </c>
      <c r="AG72" s="3">
        <v>0</v>
      </c>
      <c r="AH72" s="18">
        <v>0</v>
      </c>
      <c r="AI72" s="18">
        <v>0</v>
      </c>
      <c r="AJ72" s="18">
        <v>402.8</v>
      </c>
      <c r="AK72" s="18">
        <v>0</v>
      </c>
      <c r="AL72" s="87" t="s">
        <v>107</v>
      </c>
      <c r="AM72" s="18" t="s">
        <v>294</v>
      </c>
      <c r="AN72" s="26">
        <v>45931</v>
      </c>
      <c r="AO72" s="18">
        <v>1</v>
      </c>
      <c r="AP72" s="18">
        <v>9</v>
      </c>
      <c r="AQ72" s="18">
        <v>36</v>
      </c>
      <c r="AR72" s="18" t="s">
        <v>295</v>
      </c>
      <c r="AS72" s="5">
        <f t="shared" si="0"/>
        <v>-8395</v>
      </c>
      <c r="AT72" s="5">
        <f t="shared" si="1"/>
        <v>0</v>
      </c>
    </row>
    <row r="73" spans="2:46" x14ac:dyDescent="0.2">
      <c r="B73" s="27" t="s">
        <v>336</v>
      </c>
      <c r="C73" s="28" t="s">
        <v>47</v>
      </c>
      <c r="D73" s="36" t="s">
        <v>337</v>
      </c>
      <c r="E73" s="29" t="s">
        <v>281</v>
      </c>
      <c r="F73" s="29" t="s">
        <v>338</v>
      </c>
      <c r="G73" s="19" t="s">
        <v>339</v>
      </c>
      <c r="H73" s="20">
        <v>46199</v>
      </c>
      <c r="I73" s="21">
        <v>68834</v>
      </c>
      <c r="J73" s="21">
        <v>0</v>
      </c>
      <c r="K73" s="22">
        <v>45929</v>
      </c>
      <c r="L73" s="23">
        <v>32</v>
      </c>
      <c r="M73" s="23">
        <v>0</v>
      </c>
      <c r="N73" s="29"/>
      <c r="O73" s="29"/>
      <c r="P73" s="29">
        <v>9213</v>
      </c>
      <c r="Q73" s="29">
        <v>0</v>
      </c>
      <c r="R73" s="29">
        <v>11000</v>
      </c>
      <c r="S73" s="29">
        <v>0</v>
      </c>
      <c r="T73" s="29">
        <v>2.8000000000000001E-2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4">
        <v>0</v>
      </c>
      <c r="AA73" s="24">
        <v>0</v>
      </c>
      <c r="AB73" s="29">
        <v>0</v>
      </c>
      <c r="AC73" s="29">
        <v>0</v>
      </c>
      <c r="AD73" s="29">
        <v>402.8</v>
      </c>
      <c r="AE73" s="29">
        <v>0</v>
      </c>
      <c r="AF73" s="3">
        <v>402.8</v>
      </c>
      <c r="AG73" s="3">
        <v>0</v>
      </c>
      <c r="AH73" s="29">
        <v>0</v>
      </c>
      <c r="AI73" s="29">
        <v>0</v>
      </c>
      <c r="AJ73" s="29">
        <v>402.8</v>
      </c>
      <c r="AK73" s="29">
        <v>0</v>
      </c>
      <c r="AL73" s="87" t="s">
        <v>107</v>
      </c>
      <c r="AM73" s="29" t="s">
        <v>294</v>
      </c>
      <c r="AN73" s="31">
        <v>45931</v>
      </c>
      <c r="AO73" s="29">
        <v>1</v>
      </c>
      <c r="AP73" s="29">
        <v>9</v>
      </c>
      <c r="AQ73" s="29">
        <v>36</v>
      </c>
      <c r="AR73" s="29" t="s">
        <v>295</v>
      </c>
      <c r="AS73" s="5">
        <f t="shared" si="0"/>
        <v>57802</v>
      </c>
      <c r="AT73" s="5">
        <f t="shared" si="1"/>
        <v>0</v>
      </c>
    </row>
    <row r="74" spans="2:46" x14ac:dyDescent="0.2">
      <c r="B74" s="15" t="s">
        <v>340</v>
      </c>
      <c r="C74" s="16" t="s">
        <v>47</v>
      </c>
      <c r="D74" s="36" t="s">
        <v>341</v>
      </c>
      <c r="E74" s="18" t="s">
        <v>281</v>
      </c>
      <c r="F74" s="18" t="s">
        <v>342</v>
      </c>
      <c r="G74" s="19" t="s">
        <v>343</v>
      </c>
      <c r="H74" s="20">
        <v>46197</v>
      </c>
      <c r="I74" s="21">
        <v>7035</v>
      </c>
      <c r="J74" s="21">
        <v>0</v>
      </c>
      <c r="K74" s="22">
        <v>45929</v>
      </c>
      <c r="L74" s="23">
        <v>51</v>
      </c>
      <c r="M74" s="23">
        <v>0</v>
      </c>
      <c r="N74" s="18"/>
      <c r="O74" s="18"/>
      <c r="P74" s="18">
        <v>5217</v>
      </c>
      <c r="Q74" s="18">
        <v>0</v>
      </c>
      <c r="R74" s="18">
        <v>11000</v>
      </c>
      <c r="S74" s="18">
        <v>0</v>
      </c>
      <c r="T74" s="18">
        <v>2.8000000000000001E-2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24">
        <v>0</v>
      </c>
      <c r="AA74" s="24">
        <v>0</v>
      </c>
      <c r="AB74" s="18">
        <v>0</v>
      </c>
      <c r="AC74" s="18">
        <v>0</v>
      </c>
      <c r="AD74" s="18">
        <v>402.8</v>
      </c>
      <c r="AE74" s="18">
        <v>0</v>
      </c>
      <c r="AF74" s="3">
        <v>402.8</v>
      </c>
      <c r="AG74" s="3">
        <v>0</v>
      </c>
      <c r="AH74" s="18">
        <v>0</v>
      </c>
      <c r="AI74" s="18">
        <v>0</v>
      </c>
      <c r="AJ74" s="18">
        <v>402.8</v>
      </c>
      <c r="AK74" s="18">
        <v>0</v>
      </c>
      <c r="AL74" s="87" t="s">
        <v>107</v>
      </c>
      <c r="AM74" s="18" t="s">
        <v>294</v>
      </c>
      <c r="AN74" s="26">
        <v>45931</v>
      </c>
      <c r="AO74" s="18">
        <v>1</v>
      </c>
      <c r="AP74" s="18">
        <v>9</v>
      </c>
      <c r="AQ74" s="18">
        <v>36</v>
      </c>
      <c r="AR74" s="18" t="s">
        <v>295</v>
      </c>
      <c r="AS74" s="5">
        <f t="shared" si="0"/>
        <v>-4016</v>
      </c>
      <c r="AT74" s="5">
        <f t="shared" si="1"/>
        <v>0</v>
      </c>
    </row>
    <row r="75" spans="2:46" x14ac:dyDescent="0.2">
      <c r="B75" s="27" t="s">
        <v>344</v>
      </c>
      <c r="C75" s="28" t="s">
        <v>47</v>
      </c>
      <c r="D75" s="36" t="s">
        <v>345</v>
      </c>
      <c r="E75" s="29" t="s">
        <v>281</v>
      </c>
      <c r="F75" s="29" t="s">
        <v>346</v>
      </c>
      <c r="G75" s="19" t="s">
        <v>347</v>
      </c>
      <c r="H75" s="20">
        <v>46197</v>
      </c>
      <c r="I75" s="21">
        <v>9363</v>
      </c>
      <c r="J75" s="21">
        <v>0</v>
      </c>
      <c r="K75" s="22">
        <v>45929</v>
      </c>
      <c r="L75" s="23">
        <v>34</v>
      </c>
      <c r="M75" s="23">
        <v>0</v>
      </c>
      <c r="N75" s="29"/>
      <c r="O75" s="29"/>
      <c r="P75" s="29">
        <v>7640</v>
      </c>
      <c r="Q75" s="29">
        <v>0</v>
      </c>
      <c r="R75" s="29">
        <v>11000</v>
      </c>
      <c r="S75" s="29">
        <v>0</v>
      </c>
      <c r="T75" s="29">
        <v>2.8000000000000001E-2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4">
        <v>0</v>
      </c>
      <c r="AA75" s="24">
        <v>0</v>
      </c>
      <c r="AB75" s="29">
        <v>0</v>
      </c>
      <c r="AC75" s="29">
        <v>0</v>
      </c>
      <c r="AD75" s="29">
        <v>402.8</v>
      </c>
      <c r="AE75" s="29">
        <v>0</v>
      </c>
      <c r="AF75" s="3">
        <v>402.8</v>
      </c>
      <c r="AG75" s="3">
        <v>0</v>
      </c>
      <c r="AH75" s="29">
        <v>0</v>
      </c>
      <c r="AI75" s="29">
        <v>0</v>
      </c>
      <c r="AJ75" s="29">
        <v>402.8</v>
      </c>
      <c r="AK75" s="29">
        <v>0</v>
      </c>
      <c r="AL75" s="87" t="s">
        <v>107</v>
      </c>
      <c r="AM75" s="29" t="s">
        <v>294</v>
      </c>
      <c r="AN75" s="31">
        <v>45931</v>
      </c>
      <c r="AO75" s="29">
        <v>1</v>
      </c>
      <c r="AP75" s="29">
        <v>9</v>
      </c>
      <c r="AQ75" s="29">
        <v>36</v>
      </c>
      <c r="AR75" s="29" t="s">
        <v>295</v>
      </c>
      <c r="AS75" s="5">
        <f t="shared" si="0"/>
        <v>-1671</v>
      </c>
      <c r="AT75" s="5">
        <f t="shared" si="1"/>
        <v>0</v>
      </c>
    </row>
    <row r="76" spans="2:46" x14ac:dyDescent="0.2">
      <c r="B76" s="15" t="s">
        <v>348</v>
      </c>
      <c r="C76" s="16" t="s">
        <v>47</v>
      </c>
      <c r="D76" s="36" t="s">
        <v>349</v>
      </c>
      <c r="E76" s="18" t="s">
        <v>281</v>
      </c>
      <c r="F76" s="18" t="s">
        <v>350</v>
      </c>
      <c r="G76" s="19" t="s">
        <v>351</v>
      </c>
      <c r="H76" s="20">
        <v>46196</v>
      </c>
      <c r="I76" s="21">
        <v>22058</v>
      </c>
      <c r="J76" s="21">
        <v>0</v>
      </c>
      <c r="K76" s="22">
        <v>45929</v>
      </c>
      <c r="L76" s="23">
        <v>48</v>
      </c>
      <c r="M76" s="23">
        <v>0</v>
      </c>
      <c r="N76" s="18"/>
      <c r="O76" s="18"/>
      <c r="P76" s="18">
        <v>7333</v>
      </c>
      <c r="Q76" s="18">
        <v>0</v>
      </c>
      <c r="R76" s="18">
        <v>11000</v>
      </c>
      <c r="S76" s="18">
        <v>0</v>
      </c>
      <c r="T76" s="18">
        <v>2.8000000000000001E-2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24">
        <v>0</v>
      </c>
      <c r="AA76" s="24">
        <v>0</v>
      </c>
      <c r="AB76" s="18">
        <v>0</v>
      </c>
      <c r="AC76" s="18">
        <v>0</v>
      </c>
      <c r="AD76" s="18">
        <v>402.8</v>
      </c>
      <c r="AE76" s="18">
        <v>0</v>
      </c>
      <c r="AF76" s="3">
        <v>402.8</v>
      </c>
      <c r="AG76" s="3">
        <v>0</v>
      </c>
      <c r="AH76" s="18">
        <v>0</v>
      </c>
      <c r="AI76" s="18">
        <v>0</v>
      </c>
      <c r="AJ76" s="18">
        <v>402.8</v>
      </c>
      <c r="AK76" s="18">
        <v>0</v>
      </c>
      <c r="AL76" s="87" t="s">
        <v>107</v>
      </c>
      <c r="AM76" s="18" t="s">
        <v>294</v>
      </c>
      <c r="AN76" s="26">
        <v>45931</v>
      </c>
      <c r="AO76" s="18">
        <v>1</v>
      </c>
      <c r="AP76" s="18">
        <v>9</v>
      </c>
      <c r="AQ76" s="18">
        <v>36</v>
      </c>
      <c r="AR76" s="18" t="s">
        <v>295</v>
      </c>
      <c r="AS76" s="5">
        <f t="shared" si="0"/>
        <v>11010</v>
      </c>
      <c r="AT76" s="5">
        <f t="shared" si="1"/>
        <v>0</v>
      </c>
    </row>
    <row r="77" spans="2:46" x14ac:dyDescent="0.2">
      <c r="B77" s="27" t="s">
        <v>352</v>
      </c>
      <c r="C77" s="28" t="s">
        <v>47</v>
      </c>
      <c r="D77" s="36" t="s">
        <v>353</v>
      </c>
      <c r="E77" s="29" t="s">
        <v>281</v>
      </c>
      <c r="F77" s="29" t="s">
        <v>354</v>
      </c>
      <c r="G77" s="19" t="s">
        <v>355</v>
      </c>
      <c r="H77" s="20">
        <v>46198</v>
      </c>
      <c r="I77" s="21">
        <v>11051</v>
      </c>
      <c r="J77" s="21">
        <v>0</v>
      </c>
      <c r="K77" s="22">
        <v>45929</v>
      </c>
      <c r="L77" s="23">
        <v>49</v>
      </c>
      <c r="M77" s="23">
        <v>0</v>
      </c>
      <c r="N77" s="29"/>
      <c r="O77" s="29"/>
      <c r="P77" s="29">
        <v>3344</v>
      </c>
      <c r="Q77" s="29">
        <v>0</v>
      </c>
      <c r="R77" s="29">
        <v>11000</v>
      </c>
      <c r="S77" s="29">
        <v>0</v>
      </c>
      <c r="T77" s="29">
        <v>2.8000000000000001E-2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4">
        <v>0</v>
      </c>
      <c r="AA77" s="24">
        <v>0</v>
      </c>
      <c r="AB77" s="29">
        <v>0</v>
      </c>
      <c r="AC77" s="29">
        <v>0</v>
      </c>
      <c r="AD77" s="29">
        <v>402.8</v>
      </c>
      <c r="AE77" s="29">
        <v>0</v>
      </c>
      <c r="AF77" s="3">
        <v>402.8</v>
      </c>
      <c r="AG77" s="3">
        <v>0</v>
      </c>
      <c r="AH77" s="29">
        <v>0</v>
      </c>
      <c r="AI77" s="29">
        <v>0</v>
      </c>
      <c r="AJ77" s="29">
        <v>402.8</v>
      </c>
      <c r="AK77" s="29">
        <v>0</v>
      </c>
      <c r="AL77" s="87" t="s">
        <v>107</v>
      </c>
      <c r="AM77" s="29" t="s">
        <v>294</v>
      </c>
      <c r="AN77" s="31">
        <v>45931</v>
      </c>
      <c r="AO77" s="29">
        <v>1</v>
      </c>
      <c r="AP77" s="29">
        <v>9</v>
      </c>
      <c r="AQ77" s="29">
        <v>36</v>
      </c>
      <c r="AR77" s="29" t="s">
        <v>295</v>
      </c>
      <c r="AS77" s="5">
        <f t="shared" si="0"/>
        <v>2</v>
      </c>
      <c r="AT77" s="5">
        <f t="shared" si="1"/>
        <v>0</v>
      </c>
    </row>
    <row r="78" spans="2:46" x14ac:dyDescent="0.2">
      <c r="B78" s="15" t="s">
        <v>356</v>
      </c>
      <c r="C78" s="16" t="s">
        <v>47</v>
      </c>
      <c r="D78" s="36" t="s">
        <v>357</v>
      </c>
      <c r="E78" s="18" t="s">
        <v>281</v>
      </c>
      <c r="F78" s="18" t="s">
        <v>358</v>
      </c>
      <c r="G78" s="19" t="s">
        <v>359</v>
      </c>
      <c r="H78" s="20">
        <v>46204</v>
      </c>
      <c r="I78" s="21">
        <v>9824</v>
      </c>
      <c r="J78" s="21">
        <v>0</v>
      </c>
      <c r="K78" s="22">
        <v>45929</v>
      </c>
      <c r="L78" s="23">
        <v>17</v>
      </c>
      <c r="M78" s="23">
        <v>0</v>
      </c>
      <c r="N78" s="18"/>
      <c r="O78" s="18"/>
      <c r="P78" s="18">
        <v>8260</v>
      </c>
      <c r="Q78" s="18">
        <v>0</v>
      </c>
      <c r="R78" s="18">
        <v>11000</v>
      </c>
      <c r="S78" s="18">
        <v>0</v>
      </c>
      <c r="T78" s="18">
        <v>2.8000000000000001E-2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24">
        <v>0</v>
      </c>
      <c r="AA78" s="24">
        <v>0</v>
      </c>
      <c r="AB78" s="18">
        <v>0</v>
      </c>
      <c r="AC78" s="18">
        <v>0</v>
      </c>
      <c r="AD78" s="18">
        <v>402.8</v>
      </c>
      <c r="AE78" s="18">
        <v>0</v>
      </c>
      <c r="AF78" s="3">
        <v>402.8</v>
      </c>
      <c r="AG78" s="3">
        <v>0</v>
      </c>
      <c r="AH78" s="18">
        <v>0</v>
      </c>
      <c r="AI78" s="18">
        <v>0</v>
      </c>
      <c r="AJ78" s="18">
        <v>402.8</v>
      </c>
      <c r="AK78" s="18">
        <v>0</v>
      </c>
      <c r="AL78" s="87" t="s">
        <v>107</v>
      </c>
      <c r="AM78" s="18" t="s">
        <v>294</v>
      </c>
      <c r="AN78" s="26">
        <v>45931</v>
      </c>
      <c r="AO78" s="18">
        <v>1</v>
      </c>
      <c r="AP78" s="18">
        <v>9</v>
      </c>
      <c r="AQ78" s="18">
        <v>36</v>
      </c>
      <c r="AR78" s="18" t="s">
        <v>295</v>
      </c>
      <c r="AS78" s="5">
        <f t="shared" si="0"/>
        <v>-1193</v>
      </c>
      <c r="AT78" s="5">
        <f t="shared" si="1"/>
        <v>0</v>
      </c>
    </row>
    <row r="79" spans="2:46" x14ac:dyDescent="0.2">
      <c r="B79" s="27" t="s">
        <v>360</v>
      </c>
      <c r="C79" s="28" t="s">
        <v>47</v>
      </c>
      <c r="D79" s="36" t="s">
        <v>361</v>
      </c>
      <c r="E79" s="29" t="s">
        <v>281</v>
      </c>
      <c r="F79" s="29" t="s">
        <v>362</v>
      </c>
      <c r="G79" s="19" t="s">
        <v>363</v>
      </c>
      <c r="H79" s="20">
        <v>46195</v>
      </c>
      <c r="I79" s="21">
        <v>10948</v>
      </c>
      <c r="J79" s="21">
        <v>0</v>
      </c>
      <c r="K79" s="22">
        <v>45929</v>
      </c>
      <c r="L79" s="23">
        <v>54</v>
      </c>
      <c r="M79" s="23">
        <v>0</v>
      </c>
      <c r="N79" s="29"/>
      <c r="O79" s="29"/>
      <c r="P79" s="29">
        <v>14482</v>
      </c>
      <c r="Q79" s="29">
        <v>0</v>
      </c>
      <c r="R79" s="29">
        <v>11000</v>
      </c>
      <c r="S79" s="29">
        <v>0</v>
      </c>
      <c r="T79" s="29">
        <v>2.8000000000000001E-2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4">
        <v>3482</v>
      </c>
      <c r="AA79" s="24">
        <v>0</v>
      </c>
      <c r="AB79" s="29">
        <v>97.5</v>
      </c>
      <c r="AC79" s="29">
        <v>0</v>
      </c>
      <c r="AD79" s="29">
        <v>402.8</v>
      </c>
      <c r="AE79" s="29">
        <v>97.5</v>
      </c>
      <c r="AF79" s="3">
        <v>402.8</v>
      </c>
      <c r="AG79" s="3">
        <v>0</v>
      </c>
      <c r="AH79" s="29">
        <v>0</v>
      </c>
      <c r="AI79" s="29">
        <v>0</v>
      </c>
      <c r="AJ79" s="29">
        <v>500.3</v>
      </c>
      <c r="AK79" s="29">
        <v>0</v>
      </c>
      <c r="AL79" s="87" t="s">
        <v>107</v>
      </c>
      <c r="AM79" s="29" t="s">
        <v>294</v>
      </c>
      <c r="AN79" s="31">
        <v>45931</v>
      </c>
      <c r="AO79" s="29">
        <v>1</v>
      </c>
      <c r="AP79" s="29">
        <v>9</v>
      </c>
      <c r="AQ79" s="29">
        <v>36</v>
      </c>
      <c r="AR79" s="29" t="s">
        <v>295</v>
      </c>
      <c r="AS79" s="5">
        <f t="shared" si="0"/>
        <v>-106</v>
      </c>
      <c r="AT79" s="5">
        <f t="shared" si="1"/>
        <v>0</v>
      </c>
    </row>
    <row r="80" spans="2:46" x14ac:dyDescent="0.2">
      <c r="B80" s="15" t="s">
        <v>364</v>
      </c>
      <c r="C80" s="16" t="s">
        <v>47</v>
      </c>
      <c r="D80" s="36" t="s">
        <v>365</v>
      </c>
      <c r="E80" s="18" t="s">
        <v>281</v>
      </c>
      <c r="F80" s="18" t="s">
        <v>366</v>
      </c>
      <c r="G80" s="19" t="s">
        <v>367</v>
      </c>
      <c r="H80" s="20">
        <v>46203</v>
      </c>
      <c r="I80" s="21">
        <v>5989</v>
      </c>
      <c r="J80" s="21">
        <v>0</v>
      </c>
      <c r="K80" s="22">
        <v>45929</v>
      </c>
      <c r="L80" s="23">
        <v>27</v>
      </c>
      <c r="M80" s="23">
        <v>0</v>
      </c>
      <c r="N80" s="18"/>
      <c r="O80" s="18"/>
      <c r="P80" s="18">
        <v>9320</v>
      </c>
      <c r="Q80" s="18">
        <v>0</v>
      </c>
      <c r="R80" s="18">
        <v>11000</v>
      </c>
      <c r="S80" s="18">
        <v>0</v>
      </c>
      <c r="T80" s="18">
        <v>2.8000000000000001E-2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24">
        <v>0</v>
      </c>
      <c r="AA80" s="24">
        <v>0</v>
      </c>
      <c r="AB80" s="18">
        <v>0</v>
      </c>
      <c r="AC80" s="18">
        <v>0</v>
      </c>
      <c r="AD80" s="18">
        <v>402.8</v>
      </c>
      <c r="AE80" s="18">
        <v>0</v>
      </c>
      <c r="AF80" s="3">
        <v>402.8</v>
      </c>
      <c r="AG80" s="3">
        <v>0</v>
      </c>
      <c r="AH80" s="18">
        <v>0</v>
      </c>
      <c r="AI80" s="18">
        <v>0</v>
      </c>
      <c r="AJ80" s="18">
        <v>402.8</v>
      </c>
      <c r="AK80" s="18">
        <v>0</v>
      </c>
      <c r="AL80" s="87" t="s">
        <v>107</v>
      </c>
      <c r="AM80" s="18" t="s">
        <v>294</v>
      </c>
      <c r="AN80" s="26">
        <v>45931</v>
      </c>
      <c r="AO80" s="18">
        <v>1</v>
      </c>
      <c r="AP80" s="18">
        <v>9</v>
      </c>
      <c r="AQ80" s="18">
        <v>36</v>
      </c>
      <c r="AR80" s="18" t="s">
        <v>295</v>
      </c>
      <c r="AS80" s="5">
        <f t="shared" si="0"/>
        <v>-5038</v>
      </c>
      <c r="AT80" s="5">
        <f t="shared" si="1"/>
        <v>0</v>
      </c>
    </row>
    <row r="81" spans="2:46" x14ac:dyDescent="0.2">
      <c r="B81" s="27" t="s">
        <v>368</v>
      </c>
      <c r="C81" s="28" t="s">
        <v>47</v>
      </c>
      <c r="D81" s="36" t="s">
        <v>369</v>
      </c>
      <c r="E81" s="29" t="s">
        <v>281</v>
      </c>
      <c r="F81" s="29" t="s">
        <v>370</v>
      </c>
      <c r="G81" s="19" t="s">
        <v>371</v>
      </c>
      <c r="H81" s="20">
        <v>46203</v>
      </c>
      <c r="I81" s="21">
        <v>32268</v>
      </c>
      <c r="J81" s="21">
        <v>0</v>
      </c>
      <c r="K81" s="22">
        <v>45929</v>
      </c>
      <c r="L81" s="23">
        <v>32</v>
      </c>
      <c r="M81" s="23">
        <v>0</v>
      </c>
      <c r="N81" s="29"/>
      <c r="O81" s="29"/>
      <c r="P81" s="29">
        <v>7919</v>
      </c>
      <c r="Q81" s="29">
        <v>0</v>
      </c>
      <c r="R81" s="29">
        <v>11000</v>
      </c>
      <c r="S81" s="29">
        <v>0</v>
      </c>
      <c r="T81" s="29">
        <v>2.8000000000000001E-2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4">
        <v>0</v>
      </c>
      <c r="AA81" s="24">
        <v>0</v>
      </c>
      <c r="AB81" s="29">
        <v>0</v>
      </c>
      <c r="AC81" s="29">
        <v>0</v>
      </c>
      <c r="AD81" s="29">
        <v>402.8</v>
      </c>
      <c r="AE81" s="29">
        <v>0</v>
      </c>
      <c r="AF81" s="3">
        <v>402.8</v>
      </c>
      <c r="AG81" s="3">
        <v>0</v>
      </c>
      <c r="AH81" s="29">
        <v>0</v>
      </c>
      <c r="AI81" s="29">
        <v>0</v>
      </c>
      <c r="AJ81" s="29">
        <v>402.8</v>
      </c>
      <c r="AK81" s="29">
        <v>0</v>
      </c>
      <c r="AL81" s="87" t="s">
        <v>107</v>
      </c>
      <c r="AM81" s="29" t="s">
        <v>294</v>
      </c>
      <c r="AN81" s="31">
        <v>45931</v>
      </c>
      <c r="AO81" s="29">
        <v>1</v>
      </c>
      <c r="AP81" s="29">
        <v>9</v>
      </c>
      <c r="AQ81" s="29">
        <v>36</v>
      </c>
      <c r="AR81" s="29" t="s">
        <v>295</v>
      </c>
      <c r="AS81" s="5">
        <f t="shared" si="0"/>
        <v>21236</v>
      </c>
      <c r="AT81" s="5">
        <f t="shared" si="1"/>
        <v>0</v>
      </c>
    </row>
    <row r="82" spans="2:46" x14ac:dyDescent="0.2">
      <c r="B82" s="15" t="s">
        <v>372</v>
      </c>
      <c r="C82" s="16" t="s">
        <v>47</v>
      </c>
      <c r="D82" s="36" t="s">
        <v>373</v>
      </c>
      <c r="E82" s="18" t="s">
        <v>281</v>
      </c>
      <c r="F82" s="18" t="s">
        <v>374</v>
      </c>
      <c r="G82" s="19" t="s">
        <v>375</v>
      </c>
      <c r="H82" s="20">
        <v>46203</v>
      </c>
      <c r="I82" s="21">
        <v>21722</v>
      </c>
      <c r="J82" s="21">
        <v>0</v>
      </c>
      <c r="K82" s="22">
        <v>45929</v>
      </c>
      <c r="L82" s="23">
        <v>30</v>
      </c>
      <c r="M82" s="23">
        <v>0</v>
      </c>
      <c r="N82" s="18"/>
      <c r="O82" s="18"/>
      <c r="P82" s="18">
        <v>4692</v>
      </c>
      <c r="Q82" s="18">
        <v>0</v>
      </c>
      <c r="R82" s="18">
        <v>11000</v>
      </c>
      <c r="S82" s="18">
        <v>0</v>
      </c>
      <c r="T82" s="18">
        <v>2.8000000000000001E-2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24">
        <v>0</v>
      </c>
      <c r="AA82" s="24">
        <v>0</v>
      </c>
      <c r="AB82" s="18">
        <v>0</v>
      </c>
      <c r="AC82" s="18">
        <v>0</v>
      </c>
      <c r="AD82" s="18">
        <v>402.8</v>
      </c>
      <c r="AE82" s="18">
        <v>0</v>
      </c>
      <c r="AF82" s="3">
        <v>402.8</v>
      </c>
      <c r="AG82" s="3">
        <v>0</v>
      </c>
      <c r="AH82" s="18">
        <v>0</v>
      </c>
      <c r="AI82" s="18">
        <v>0</v>
      </c>
      <c r="AJ82" s="18">
        <v>402.8</v>
      </c>
      <c r="AK82" s="18">
        <v>0</v>
      </c>
      <c r="AL82" s="87" t="s">
        <v>107</v>
      </c>
      <c r="AM82" s="18" t="s">
        <v>294</v>
      </c>
      <c r="AN82" s="26">
        <v>45931</v>
      </c>
      <c r="AO82" s="18">
        <v>1</v>
      </c>
      <c r="AP82" s="18">
        <v>9</v>
      </c>
      <c r="AQ82" s="18">
        <v>36</v>
      </c>
      <c r="AR82" s="18" t="s">
        <v>295</v>
      </c>
      <c r="AS82" s="5">
        <f t="shared" si="0"/>
        <v>10692</v>
      </c>
      <c r="AT82" s="5">
        <f t="shared" si="1"/>
        <v>0</v>
      </c>
    </row>
    <row r="83" spans="2:46" x14ac:dyDescent="0.2">
      <c r="B83" s="27" t="s">
        <v>376</v>
      </c>
      <c r="C83" s="28" t="s">
        <v>47</v>
      </c>
      <c r="D83" s="36" t="s">
        <v>377</v>
      </c>
      <c r="E83" s="29" t="s">
        <v>281</v>
      </c>
      <c r="F83" s="29" t="s">
        <v>378</v>
      </c>
      <c r="G83" s="19" t="s">
        <v>379</v>
      </c>
      <c r="H83" s="20">
        <v>46197</v>
      </c>
      <c r="I83" s="21">
        <v>1975</v>
      </c>
      <c r="J83" s="21">
        <v>0</v>
      </c>
      <c r="K83" s="22">
        <v>45929</v>
      </c>
      <c r="L83" s="23">
        <v>30</v>
      </c>
      <c r="M83" s="23">
        <v>0</v>
      </c>
      <c r="N83" s="29"/>
      <c r="O83" s="29"/>
      <c r="P83" s="29">
        <v>4808</v>
      </c>
      <c r="Q83" s="29">
        <v>0</v>
      </c>
      <c r="R83" s="29">
        <v>11000</v>
      </c>
      <c r="S83" s="29">
        <v>0</v>
      </c>
      <c r="T83" s="29">
        <v>2.8000000000000001E-2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4">
        <v>0</v>
      </c>
      <c r="AA83" s="24">
        <v>0</v>
      </c>
      <c r="AB83" s="29">
        <v>0</v>
      </c>
      <c r="AC83" s="29">
        <v>0</v>
      </c>
      <c r="AD83" s="29">
        <v>402.8</v>
      </c>
      <c r="AE83" s="29">
        <v>0</v>
      </c>
      <c r="AF83" s="3">
        <v>402.8</v>
      </c>
      <c r="AG83" s="3">
        <v>0</v>
      </c>
      <c r="AH83" s="29">
        <v>0</v>
      </c>
      <c r="AI83" s="29">
        <v>0</v>
      </c>
      <c r="AJ83" s="29">
        <v>402.8</v>
      </c>
      <c r="AK83" s="29">
        <v>0</v>
      </c>
      <c r="AL83" s="87" t="s">
        <v>107</v>
      </c>
      <c r="AM83" s="29" t="s">
        <v>294</v>
      </c>
      <c r="AN83" s="31">
        <v>45931</v>
      </c>
      <c r="AO83" s="29">
        <v>1</v>
      </c>
      <c r="AP83" s="29">
        <v>9</v>
      </c>
      <c r="AQ83" s="29">
        <v>36</v>
      </c>
      <c r="AR83" s="29" t="s">
        <v>295</v>
      </c>
      <c r="AS83" s="5">
        <f t="shared" si="0"/>
        <v>-9055</v>
      </c>
      <c r="AT83" s="5">
        <f t="shared" si="1"/>
        <v>0</v>
      </c>
    </row>
    <row r="84" spans="2:46" x14ac:dyDescent="0.2">
      <c r="B84" s="15" t="s">
        <v>380</v>
      </c>
      <c r="C84" s="16" t="s">
        <v>47</v>
      </c>
      <c r="D84" s="36" t="s">
        <v>381</v>
      </c>
      <c r="E84" s="18" t="s">
        <v>281</v>
      </c>
      <c r="F84" s="18" t="s">
        <v>382</v>
      </c>
      <c r="G84" s="19" t="s">
        <v>383</v>
      </c>
      <c r="H84" s="20">
        <v>46203</v>
      </c>
      <c r="I84" s="21">
        <v>13351</v>
      </c>
      <c r="J84" s="21">
        <v>0</v>
      </c>
      <c r="K84" s="22">
        <v>45929</v>
      </c>
      <c r="L84" s="23">
        <v>33</v>
      </c>
      <c r="M84" s="23">
        <v>0</v>
      </c>
      <c r="N84" s="18"/>
      <c r="O84" s="18"/>
      <c r="P84" s="18">
        <v>7867</v>
      </c>
      <c r="Q84" s="18">
        <v>0</v>
      </c>
      <c r="R84" s="18">
        <v>11000</v>
      </c>
      <c r="S84" s="18">
        <v>0</v>
      </c>
      <c r="T84" s="18">
        <v>2.8000000000000001E-2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24">
        <v>0</v>
      </c>
      <c r="AA84" s="24">
        <v>0</v>
      </c>
      <c r="AB84" s="18">
        <v>0</v>
      </c>
      <c r="AC84" s="18">
        <v>0</v>
      </c>
      <c r="AD84" s="18">
        <v>402.8</v>
      </c>
      <c r="AE84" s="18">
        <v>0</v>
      </c>
      <c r="AF84" s="3">
        <v>402.8</v>
      </c>
      <c r="AG84" s="3">
        <v>0</v>
      </c>
      <c r="AH84" s="18">
        <v>0</v>
      </c>
      <c r="AI84" s="18">
        <v>0</v>
      </c>
      <c r="AJ84" s="18">
        <v>402.8</v>
      </c>
      <c r="AK84" s="18">
        <v>0</v>
      </c>
      <c r="AL84" s="87" t="s">
        <v>107</v>
      </c>
      <c r="AM84" s="18" t="s">
        <v>294</v>
      </c>
      <c r="AN84" s="26">
        <v>45931</v>
      </c>
      <c r="AO84" s="18">
        <v>1</v>
      </c>
      <c r="AP84" s="18">
        <v>9</v>
      </c>
      <c r="AQ84" s="18">
        <v>36</v>
      </c>
      <c r="AR84" s="18" t="s">
        <v>295</v>
      </c>
      <c r="AS84" s="5">
        <f t="shared" si="0"/>
        <v>2318</v>
      </c>
      <c r="AT84" s="5">
        <f t="shared" si="1"/>
        <v>0</v>
      </c>
    </row>
    <row r="85" spans="2:46" x14ac:dyDescent="0.2">
      <c r="B85" s="27" t="s">
        <v>384</v>
      </c>
      <c r="C85" s="28" t="s">
        <v>47</v>
      </c>
      <c r="D85" s="36" t="s">
        <v>385</v>
      </c>
      <c r="E85" s="29" t="s">
        <v>281</v>
      </c>
      <c r="F85" s="29" t="s">
        <v>386</v>
      </c>
      <c r="G85" s="19" t="s">
        <v>387</v>
      </c>
      <c r="H85" s="20">
        <v>46197</v>
      </c>
      <c r="I85" s="21">
        <v>10065</v>
      </c>
      <c r="J85" s="21">
        <v>0</v>
      </c>
      <c r="K85" s="22">
        <v>45929</v>
      </c>
      <c r="L85" s="23">
        <v>47</v>
      </c>
      <c r="M85" s="23">
        <v>0</v>
      </c>
      <c r="N85" s="29"/>
      <c r="O85" s="29"/>
      <c r="P85" s="29">
        <v>6105</v>
      </c>
      <c r="Q85" s="29">
        <v>0</v>
      </c>
      <c r="R85" s="29">
        <v>11000</v>
      </c>
      <c r="S85" s="29">
        <v>0</v>
      </c>
      <c r="T85" s="29">
        <v>2.8000000000000001E-2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4">
        <v>0</v>
      </c>
      <c r="AA85" s="24">
        <v>0</v>
      </c>
      <c r="AB85" s="29">
        <v>0</v>
      </c>
      <c r="AC85" s="29">
        <v>0</v>
      </c>
      <c r="AD85" s="29">
        <v>402.8</v>
      </c>
      <c r="AE85" s="29">
        <v>0</v>
      </c>
      <c r="AF85" s="3">
        <v>402.8</v>
      </c>
      <c r="AG85" s="3">
        <v>0</v>
      </c>
      <c r="AH85" s="29">
        <v>0</v>
      </c>
      <c r="AI85" s="29">
        <v>0</v>
      </c>
      <c r="AJ85" s="29">
        <v>402.8</v>
      </c>
      <c r="AK85" s="29">
        <v>0</v>
      </c>
      <c r="AL85" s="87" t="s">
        <v>107</v>
      </c>
      <c r="AM85" s="29" t="s">
        <v>294</v>
      </c>
      <c r="AN85" s="31">
        <v>45931</v>
      </c>
      <c r="AO85" s="29">
        <v>1</v>
      </c>
      <c r="AP85" s="29">
        <v>9</v>
      </c>
      <c r="AQ85" s="29">
        <v>36</v>
      </c>
      <c r="AR85" s="29" t="s">
        <v>295</v>
      </c>
      <c r="AS85" s="5">
        <f t="shared" si="0"/>
        <v>-982</v>
      </c>
      <c r="AT85" s="5">
        <f t="shared" si="1"/>
        <v>0</v>
      </c>
    </row>
    <row r="86" spans="2:46" x14ac:dyDescent="0.2">
      <c r="B86" s="15" t="s">
        <v>388</v>
      </c>
      <c r="C86" s="16" t="s">
        <v>47</v>
      </c>
      <c r="D86" s="36" t="s">
        <v>389</v>
      </c>
      <c r="E86" s="18" t="s">
        <v>281</v>
      </c>
      <c r="F86" s="18" t="s">
        <v>390</v>
      </c>
      <c r="G86" s="19" t="s">
        <v>391</v>
      </c>
      <c r="H86" s="20">
        <v>46197</v>
      </c>
      <c r="I86" s="21">
        <v>8911</v>
      </c>
      <c r="J86" s="21">
        <v>0</v>
      </c>
      <c r="K86" s="22">
        <v>45929</v>
      </c>
      <c r="L86" s="23">
        <v>31</v>
      </c>
      <c r="M86" s="23">
        <v>0</v>
      </c>
      <c r="N86" s="18"/>
      <c r="O86" s="18"/>
      <c r="P86" s="18">
        <v>8425</v>
      </c>
      <c r="Q86" s="18">
        <v>0</v>
      </c>
      <c r="R86" s="18">
        <v>11000</v>
      </c>
      <c r="S86" s="18">
        <v>0</v>
      </c>
      <c r="T86" s="18">
        <v>2.8000000000000001E-2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24">
        <v>0</v>
      </c>
      <c r="AA86" s="24">
        <v>0</v>
      </c>
      <c r="AB86" s="18">
        <v>0</v>
      </c>
      <c r="AC86" s="18">
        <v>0</v>
      </c>
      <c r="AD86" s="18">
        <v>402.8</v>
      </c>
      <c r="AE86" s="18">
        <v>0</v>
      </c>
      <c r="AF86" s="3">
        <v>402.8</v>
      </c>
      <c r="AG86" s="3">
        <v>0</v>
      </c>
      <c r="AH86" s="18">
        <v>0</v>
      </c>
      <c r="AI86" s="18">
        <v>0</v>
      </c>
      <c r="AJ86" s="18">
        <v>402.8</v>
      </c>
      <c r="AK86" s="18">
        <v>0</v>
      </c>
      <c r="AL86" s="87" t="s">
        <v>107</v>
      </c>
      <c r="AM86" s="18" t="s">
        <v>294</v>
      </c>
      <c r="AN86" s="26">
        <v>45931</v>
      </c>
      <c r="AO86" s="18">
        <v>1</v>
      </c>
      <c r="AP86" s="18">
        <v>9</v>
      </c>
      <c r="AQ86" s="18">
        <v>36</v>
      </c>
      <c r="AR86" s="18" t="s">
        <v>295</v>
      </c>
      <c r="AS86" s="5">
        <f t="shared" si="0"/>
        <v>-2120</v>
      </c>
      <c r="AT86" s="5">
        <f t="shared" si="1"/>
        <v>0</v>
      </c>
    </row>
    <row r="87" spans="2:46" x14ac:dyDescent="0.2">
      <c r="B87" s="27" t="s">
        <v>392</v>
      </c>
      <c r="C87" s="28" t="s">
        <v>47</v>
      </c>
      <c r="D87" s="36" t="s">
        <v>393</v>
      </c>
      <c r="E87" s="29" t="s">
        <v>281</v>
      </c>
      <c r="F87" s="29" t="s">
        <v>394</v>
      </c>
      <c r="G87" s="19" t="s">
        <v>395</v>
      </c>
      <c r="H87" s="20">
        <v>46197</v>
      </c>
      <c r="I87" s="21">
        <v>13001</v>
      </c>
      <c r="J87" s="21">
        <v>0</v>
      </c>
      <c r="K87" s="22">
        <v>45929</v>
      </c>
      <c r="L87" s="23">
        <v>39</v>
      </c>
      <c r="M87" s="23">
        <v>0</v>
      </c>
      <c r="N87" s="29"/>
      <c r="O87" s="29"/>
      <c r="P87" s="29">
        <v>11411</v>
      </c>
      <c r="Q87" s="29">
        <v>0</v>
      </c>
      <c r="R87" s="29">
        <v>11000</v>
      </c>
      <c r="S87" s="29">
        <v>0</v>
      </c>
      <c r="T87" s="29">
        <v>2.8000000000000001E-2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4">
        <v>411</v>
      </c>
      <c r="AA87" s="24">
        <v>0</v>
      </c>
      <c r="AB87" s="29">
        <v>11.51</v>
      </c>
      <c r="AC87" s="29">
        <v>0</v>
      </c>
      <c r="AD87" s="29">
        <v>402.8</v>
      </c>
      <c r="AE87" s="29">
        <v>11.51</v>
      </c>
      <c r="AF87" s="3">
        <v>402.8</v>
      </c>
      <c r="AG87" s="3">
        <v>0</v>
      </c>
      <c r="AH87" s="29">
        <v>0</v>
      </c>
      <c r="AI87" s="29">
        <v>0</v>
      </c>
      <c r="AJ87" s="29">
        <v>414.31</v>
      </c>
      <c r="AK87" s="29">
        <v>0</v>
      </c>
      <c r="AL87" s="87" t="s">
        <v>107</v>
      </c>
      <c r="AM87" s="29" t="s">
        <v>294</v>
      </c>
      <c r="AN87" s="31">
        <v>45931</v>
      </c>
      <c r="AO87" s="29">
        <v>1</v>
      </c>
      <c r="AP87" s="29">
        <v>9</v>
      </c>
      <c r="AQ87" s="29">
        <v>36</v>
      </c>
      <c r="AR87" s="29" t="s">
        <v>295</v>
      </c>
      <c r="AS87" s="5">
        <f t="shared" si="0"/>
        <v>1962</v>
      </c>
      <c r="AT87" s="5">
        <f t="shared" si="1"/>
        <v>0</v>
      </c>
    </row>
    <row r="88" spans="2:46" x14ac:dyDescent="0.2">
      <c r="B88" s="15" t="s">
        <v>396</v>
      </c>
      <c r="C88" s="16" t="s">
        <v>47</v>
      </c>
      <c r="D88" s="36" t="s">
        <v>397</v>
      </c>
      <c r="E88" s="18" t="s">
        <v>281</v>
      </c>
      <c r="F88" s="18" t="s">
        <v>398</v>
      </c>
      <c r="G88" s="19" t="s">
        <v>399</v>
      </c>
      <c r="H88" s="20">
        <v>46196</v>
      </c>
      <c r="I88" s="21">
        <v>4080</v>
      </c>
      <c r="J88" s="21">
        <v>0</v>
      </c>
      <c r="K88" s="22">
        <v>45929</v>
      </c>
      <c r="L88" s="23">
        <v>153</v>
      </c>
      <c r="M88" s="23">
        <v>0</v>
      </c>
      <c r="N88" s="18"/>
      <c r="O88" s="18"/>
      <c r="P88" s="18">
        <v>3609</v>
      </c>
      <c r="Q88" s="18">
        <v>0</v>
      </c>
      <c r="R88" s="18">
        <v>11000</v>
      </c>
      <c r="S88" s="18">
        <v>0</v>
      </c>
      <c r="T88" s="18">
        <v>2.8000000000000001E-2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24">
        <v>0</v>
      </c>
      <c r="AA88" s="24">
        <v>0</v>
      </c>
      <c r="AB88" s="18">
        <v>0</v>
      </c>
      <c r="AC88" s="18">
        <v>0</v>
      </c>
      <c r="AD88" s="18">
        <v>402.8</v>
      </c>
      <c r="AE88" s="18">
        <v>0</v>
      </c>
      <c r="AF88" s="3">
        <v>402.8</v>
      </c>
      <c r="AG88" s="3">
        <v>0</v>
      </c>
      <c r="AH88" s="18">
        <v>0</v>
      </c>
      <c r="AI88" s="18">
        <v>0</v>
      </c>
      <c r="AJ88" s="18">
        <v>402.8</v>
      </c>
      <c r="AK88" s="18">
        <v>0</v>
      </c>
      <c r="AL88" s="87" t="s">
        <v>107</v>
      </c>
      <c r="AM88" s="18" t="s">
        <v>294</v>
      </c>
      <c r="AN88" s="26">
        <v>45931</v>
      </c>
      <c r="AO88" s="18">
        <v>1</v>
      </c>
      <c r="AP88" s="18">
        <v>9</v>
      </c>
      <c r="AQ88" s="18">
        <v>36</v>
      </c>
      <c r="AR88" s="18" t="s">
        <v>295</v>
      </c>
      <c r="AS88" s="5">
        <f t="shared" si="0"/>
        <v>-7073</v>
      </c>
      <c r="AT88" s="5">
        <f t="shared" si="1"/>
        <v>0</v>
      </c>
    </row>
    <row r="89" spans="2:46" x14ac:dyDescent="0.2">
      <c r="B89" s="27" t="s">
        <v>400</v>
      </c>
      <c r="C89" s="28" t="s">
        <v>47</v>
      </c>
      <c r="D89" s="36" t="s">
        <v>401</v>
      </c>
      <c r="E89" s="29" t="s">
        <v>281</v>
      </c>
      <c r="F89" s="29" t="s">
        <v>402</v>
      </c>
      <c r="G89" s="19" t="s">
        <v>403</v>
      </c>
      <c r="H89" s="20">
        <v>46197</v>
      </c>
      <c r="I89" s="21">
        <v>5092</v>
      </c>
      <c r="J89" s="21">
        <v>0</v>
      </c>
      <c r="K89" s="22">
        <v>45929</v>
      </c>
      <c r="L89" s="23">
        <v>73</v>
      </c>
      <c r="M89" s="23">
        <v>0</v>
      </c>
      <c r="N89" s="29"/>
      <c r="O89" s="29"/>
      <c r="P89" s="29">
        <v>9443</v>
      </c>
      <c r="Q89" s="29">
        <v>0</v>
      </c>
      <c r="R89" s="29">
        <v>11000</v>
      </c>
      <c r="S89" s="29">
        <v>0</v>
      </c>
      <c r="T89" s="29">
        <v>2.8000000000000001E-2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4">
        <v>0</v>
      </c>
      <c r="AA89" s="24">
        <v>0</v>
      </c>
      <c r="AB89" s="29">
        <v>0</v>
      </c>
      <c r="AC89" s="29">
        <v>0</v>
      </c>
      <c r="AD89" s="29">
        <v>402.8</v>
      </c>
      <c r="AE89" s="29">
        <v>0</v>
      </c>
      <c r="AF89" s="3">
        <v>402.8</v>
      </c>
      <c r="AG89" s="3">
        <v>0</v>
      </c>
      <c r="AH89" s="29">
        <v>0</v>
      </c>
      <c r="AI89" s="29">
        <v>0</v>
      </c>
      <c r="AJ89" s="29">
        <v>402.8</v>
      </c>
      <c r="AK89" s="29">
        <v>0</v>
      </c>
      <c r="AL89" s="87" t="s">
        <v>107</v>
      </c>
      <c r="AM89" s="29" t="s">
        <v>294</v>
      </c>
      <c r="AN89" s="31">
        <v>45931</v>
      </c>
      <c r="AO89" s="29">
        <v>1</v>
      </c>
      <c r="AP89" s="29">
        <v>9</v>
      </c>
      <c r="AQ89" s="29">
        <v>36</v>
      </c>
      <c r="AR89" s="29" t="s">
        <v>295</v>
      </c>
      <c r="AS89" s="5">
        <f t="shared" si="0"/>
        <v>-5981</v>
      </c>
      <c r="AT89" s="5">
        <f t="shared" si="1"/>
        <v>0</v>
      </c>
    </row>
    <row r="90" spans="2:46" x14ac:dyDescent="0.2">
      <c r="B90" s="15" t="s">
        <v>404</v>
      </c>
      <c r="C90" s="16" t="s">
        <v>47</v>
      </c>
      <c r="D90" s="36" t="s">
        <v>405</v>
      </c>
      <c r="E90" s="18" t="s">
        <v>281</v>
      </c>
      <c r="F90" s="18" t="s">
        <v>406</v>
      </c>
      <c r="G90" s="19" t="s">
        <v>371</v>
      </c>
      <c r="H90" s="20">
        <v>46203</v>
      </c>
      <c r="I90" s="21">
        <v>3349</v>
      </c>
      <c r="J90" s="21">
        <v>0</v>
      </c>
      <c r="K90" s="22">
        <v>45929</v>
      </c>
      <c r="L90" s="23">
        <v>47</v>
      </c>
      <c r="M90" s="23">
        <v>0</v>
      </c>
      <c r="N90" s="18"/>
      <c r="O90" s="18"/>
      <c r="P90" s="18">
        <v>1562</v>
      </c>
      <c r="Q90" s="18">
        <v>0</v>
      </c>
      <c r="R90" s="18">
        <v>11000</v>
      </c>
      <c r="S90" s="18">
        <v>0</v>
      </c>
      <c r="T90" s="18">
        <v>2.8000000000000001E-2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24">
        <v>0</v>
      </c>
      <c r="AA90" s="24">
        <v>0</v>
      </c>
      <c r="AB90" s="18">
        <v>0</v>
      </c>
      <c r="AC90" s="18">
        <v>0</v>
      </c>
      <c r="AD90" s="18">
        <v>402.8</v>
      </c>
      <c r="AE90" s="18">
        <v>0</v>
      </c>
      <c r="AF90" s="3">
        <v>402.8</v>
      </c>
      <c r="AG90" s="3">
        <v>0</v>
      </c>
      <c r="AH90" s="18">
        <v>0</v>
      </c>
      <c r="AI90" s="18">
        <v>0</v>
      </c>
      <c r="AJ90" s="18">
        <v>402.8</v>
      </c>
      <c r="AK90" s="18">
        <v>0</v>
      </c>
      <c r="AL90" s="87" t="s">
        <v>107</v>
      </c>
      <c r="AM90" s="18" t="s">
        <v>294</v>
      </c>
      <c r="AN90" s="26">
        <v>45931</v>
      </c>
      <c r="AO90" s="18">
        <v>1</v>
      </c>
      <c r="AP90" s="18">
        <v>9</v>
      </c>
      <c r="AQ90" s="18">
        <v>36</v>
      </c>
      <c r="AR90" s="18" t="s">
        <v>295</v>
      </c>
      <c r="AS90" s="5">
        <f t="shared" si="0"/>
        <v>-7698</v>
      </c>
      <c r="AT90" s="5">
        <f t="shared" si="1"/>
        <v>0</v>
      </c>
    </row>
    <row r="91" spans="2:46" x14ac:dyDescent="0.2">
      <c r="B91" s="27" t="s">
        <v>407</v>
      </c>
      <c r="C91" s="28" t="s">
        <v>47</v>
      </c>
      <c r="D91" s="36" t="s">
        <v>408</v>
      </c>
      <c r="E91" s="29" t="s">
        <v>281</v>
      </c>
      <c r="F91" s="29" t="s">
        <v>409</v>
      </c>
      <c r="G91" s="19" t="s">
        <v>410</v>
      </c>
      <c r="H91" s="20">
        <v>46196</v>
      </c>
      <c r="I91" s="21">
        <v>19966</v>
      </c>
      <c r="J91" s="21">
        <v>0</v>
      </c>
      <c r="K91" s="22">
        <v>45929</v>
      </c>
      <c r="L91" s="23">
        <v>183</v>
      </c>
      <c r="M91" s="23">
        <v>0</v>
      </c>
      <c r="N91" s="29"/>
      <c r="O91" s="29"/>
      <c r="P91" s="29">
        <v>4852</v>
      </c>
      <c r="Q91" s="29">
        <v>0</v>
      </c>
      <c r="R91" s="29">
        <v>11000</v>
      </c>
      <c r="S91" s="29">
        <v>0</v>
      </c>
      <c r="T91" s="29">
        <v>2.8000000000000001E-2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4">
        <v>0</v>
      </c>
      <c r="AA91" s="24">
        <v>0</v>
      </c>
      <c r="AB91" s="29">
        <v>0</v>
      </c>
      <c r="AC91" s="29">
        <v>0</v>
      </c>
      <c r="AD91" s="29">
        <v>402.8</v>
      </c>
      <c r="AE91" s="29">
        <v>0</v>
      </c>
      <c r="AF91" s="3">
        <v>402.8</v>
      </c>
      <c r="AG91" s="3">
        <v>0</v>
      </c>
      <c r="AH91" s="29">
        <v>0</v>
      </c>
      <c r="AI91" s="29">
        <v>0</v>
      </c>
      <c r="AJ91" s="29">
        <v>402.8</v>
      </c>
      <c r="AK91" s="29">
        <v>0</v>
      </c>
      <c r="AL91" s="87" t="s">
        <v>107</v>
      </c>
      <c r="AM91" s="29" t="s">
        <v>294</v>
      </c>
      <c r="AN91" s="31">
        <v>45931</v>
      </c>
      <c r="AO91" s="29">
        <v>1</v>
      </c>
      <c r="AP91" s="29">
        <v>9</v>
      </c>
      <c r="AQ91" s="29">
        <v>36</v>
      </c>
      <c r="AR91" s="29" t="s">
        <v>295</v>
      </c>
      <c r="AS91" s="5">
        <f t="shared" si="0"/>
        <v>8783</v>
      </c>
      <c r="AT91" s="5">
        <f t="shared" si="1"/>
        <v>0</v>
      </c>
    </row>
    <row r="92" spans="2:46" x14ac:dyDescent="0.2">
      <c r="B92" s="15" t="s">
        <v>411</v>
      </c>
      <c r="C92" s="16" t="s">
        <v>47</v>
      </c>
      <c r="D92" s="36" t="s">
        <v>412</v>
      </c>
      <c r="E92" s="18" t="s">
        <v>281</v>
      </c>
      <c r="F92" s="18" t="s">
        <v>413</v>
      </c>
      <c r="G92" s="19" t="s">
        <v>414</v>
      </c>
      <c r="H92" s="20">
        <v>46195</v>
      </c>
      <c r="I92" s="21">
        <v>13627</v>
      </c>
      <c r="J92" s="21">
        <v>0</v>
      </c>
      <c r="K92" s="22">
        <v>45929</v>
      </c>
      <c r="L92" s="23">
        <v>34</v>
      </c>
      <c r="M92" s="23">
        <v>0</v>
      </c>
      <c r="N92" s="18"/>
      <c r="O92" s="18"/>
      <c r="P92" s="18">
        <v>4655</v>
      </c>
      <c r="Q92" s="18">
        <v>0</v>
      </c>
      <c r="R92" s="18">
        <v>11000</v>
      </c>
      <c r="S92" s="18">
        <v>0</v>
      </c>
      <c r="T92" s="18">
        <v>2.8000000000000001E-2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24">
        <v>0</v>
      </c>
      <c r="AA92" s="24">
        <v>0</v>
      </c>
      <c r="AB92" s="18">
        <v>0</v>
      </c>
      <c r="AC92" s="18">
        <v>0</v>
      </c>
      <c r="AD92" s="18">
        <v>402.8</v>
      </c>
      <c r="AE92" s="18">
        <v>0</v>
      </c>
      <c r="AF92" s="3">
        <v>402.8</v>
      </c>
      <c r="AG92" s="3">
        <v>0</v>
      </c>
      <c r="AH92" s="18">
        <v>0</v>
      </c>
      <c r="AI92" s="18">
        <v>0</v>
      </c>
      <c r="AJ92" s="18">
        <v>402.8</v>
      </c>
      <c r="AK92" s="18">
        <v>0</v>
      </c>
      <c r="AL92" s="87" t="s">
        <v>107</v>
      </c>
      <c r="AM92" s="18" t="s">
        <v>294</v>
      </c>
      <c r="AN92" s="26">
        <v>45931</v>
      </c>
      <c r="AO92" s="18">
        <v>1</v>
      </c>
      <c r="AP92" s="18">
        <v>9</v>
      </c>
      <c r="AQ92" s="18">
        <v>36</v>
      </c>
      <c r="AR92" s="18" t="s">
        <v>295</v>
      </c>
      <c r="AS92" s="5">
        <f t="shared" si="0"/>
        <v>2593</v>
      </c>
      <c r="AT92" s="5">
        <f t="shared" si="1"/>
        <v>0</v>
      </c>
    </row>
    <row r="93" spans="2:46" x14ac:dyDescent="0.2">
      <c r="B93" s="27" t="s">
        <v>415</v>
      </c>
      <c r="C93" s="28" t="s">
        <v>139</v>
      </c>
      <c r="D93" s="28" t="s">
        <v>416</v>
      </c>
      <c r="E93" s="29" t="s">
        <v>417</v>
      </c>
      <c r="F93" s="29" t="s">
        <v>418</v>
      </c>
      <c r="G93" s="19">
        <v>0</v>
      </c>
      <c r="H93" s="20">
        <v>0</v>
      </c>
      <c r="I93" s="21">
        <v>0</v>
      </c>
      <c r="J93" s="21">
        <v>0</v>
      </c>
      <c r="K93" s="22">
        <v>45929</v>
      </c>
      <c r="L93" s="23">
        <v>0</v>
      </c>
      <c r="M93" s="23">
        <v>0</v>
      </c>
      <c r="N93" s="29"/>
      <c r="O93" s="29"/>
      <c r="P93" s="29">
        <v>0</v>
      </c>
      <c r="Q93" s="29">
        <v>0</v>
      </c>
      <c r="R93" s="29">
        <v>0</v>
      </c>
      <c r="S93" s="29">
        <v>0</v>
      </c>
      <c r="T93" s="29">
        <v>2.4199999999999999E-2</v>
      </c>
      <c r="U93" s="29">
        <v>0.29099999999999998</v>
      </c>
      <c r="V93" s="29">
        <v>0</v>
      </c>
      <c r="W93" s="29">
        <v>0</v>
      </c>
      <c r="X93" s="29">
        <v>0</v>
      </c>
      <c r="Y93" s="29">
        <v>0</v>
      </c>
      <c r="Z93" s="24">
        <v>0</v>
      </c>
      <c r="AA93" s="24">
        <v>0</v>
      </c>
      <c r="AB93" s="29">
        <v>0</v>
      </c>
      <c r="AC93" s="29">
        <v>0</v>
      </c>
      <c r="AD93" s="29">
        <v>0</v>
      </c>
      <c r="AE93" s="29">
        <v>0</v>
      </c>
      <c r="AF93" s="3">
        <v>0</v>
      </c>
      <c r="AG93" s="3">
        <v>0</v>
      </c>
      <c r="AH93" s="29">
        <v>0</v>
      </c>
      <c r="AI93" s="29">
        <v>0</v>
      </c>
      <c r="AJ93" s="29">
        <v>0</v>
      </c>
      <c r="AK93" s="29">
        <v>0</v>
      </c>
      <c r="AL93" s="48" t="s">
        <v>107</v>
      </c>
      <c r="AM93" s="29" t="s">
        <v>294</v>
      </c>
      <c r="AN93" s="31">
        <v>45931</v>
      </c>
      <c r="AO93" s="29">
        <v>1</v>
      </c>
      <c r="AP93" s="29">
        <v>9</v>
      </c>
      <c r="AQ93" s="29">
        <v>0</v>
      </c>
      <c r="AR93" s="29" t="s">
        <v>419</v>
      </c>
      <c r="AS93" s="5">
        <f t="shared" si="0"/>
        <v>0</v>
      </c>
      <c r="AT93" s="5">
        <f t="shared" si="1"/>
        <v>0</v>
      </c>
    </row>
    <row r="94" spans="2:46" x14ac:dyDescent="0.2">
      <c r="B94" s="15" t="s">
        <v>420</v>
      </c>
      <c r="C94" s="16" t="s">
        <v>47</v>
      </c>
      <c r="D94" s="36" t="s">
        <v>421</v>
      </c>
      <c r="E94" s="18">
        <v>0</v>
      </c>
      <c r="F94" s="18" t="s">
        <v>150</v>
      </c>
      <c r="G94" s="19" t="s">
        <v>151</v>
      </c>
      <c r="H94" s="20" t="s">
        <v>151</v>
      </c>
      <c r="I94" s="21">
        <f>SUM(I62:I93)</f>
        <v>352948</v>
      </c>
      <c r="J94" s="21">
        <f>SUM(J62:J93)</f>
        <v>177</v>
      </c>
      <c r="K94" s="22" t="s">
        <v>151</v>
      </c>
      <c r="L94" s="23" t="s">
        <v>151</v>
      </c>
      <c r="M94" s="23" t="s">
        <v>151</v>
      </c>
      <c r="N94" s="18"/>
      <c r="O94" s="18"/>
      <c r="P94" s="18">
        <v>0</v>
      </c>
      <c r="Q94" s="18">
        <v>0</v>
      </c>
      <c r="R94" s="18">
        <v>341000</v>
      </c>
      <c r="S94" s="18">
        <v>500</v>
      </c>
      <c r="T94" s="18">
        <v>2.8000000000000001E-2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88">
        <f>AS94</f>
        <v>10605</v>
      </c>
      <c r="AA94" s="88">
        <f>AT94</f>
        <v>0</v>
      </c>
      <c r="AB94" s="18">
        <v>0</v>
      </c>
      <c r="AC94" s="18">
        <v>0</v>
      </c>
      <c r="AD94" s="18">
        <v>0</v>
      </c>
      <c r="AE94" s="18">
        <f>+Z94*T94</f>
        <v>296.94</v>
      </c>
      <c r="AF94" s="3">
        <v>0</v>
      </c>
      <c r="AG94" s="3">
        <v>0</v>
      </c>
      <c r="AH94" s="18">
        <v>0</v>
      </c>
      <c r="AI94" s="18">
        <v>0</v>
      </c>
      <c r="AJ94" s="18">
        <f>+AE94+AF94</f>
        <v>296.94</v>
      </c>
      <c r="AK94" s="18">
        <f>+AJ94</f>
        <v>296.94</v>
      </c>
      <c r="AL94" s="40" t="s">
        <v>422</v>
      </c>
      <c r="AM94" s="18" t="s">
        <v>294</v>
      </c>
      <c r="AN94" s="26">
        <v>45931</v>
      </c>
      <c r="AO94" s="18">
        <v>1</v>
      </c>
      <c r="AP94" s="18">
        <v>9</v>
      </c>
      <c r="AQ94" s="18">
        <v>36</v>
      </c>
      <c r="AR94" s="18" t="s">
        <v>295</v>
      </c>
      <c r="AS94" s="89">
        <f>IF(SUM(AS62:AS93)&gt;0,SUM(AS62:AS93),0)</f>
        <v>10605</v>
      </c>
      <c r="AT94" s="89">
        <f>IF(SUM(AT62:AT93)&gt;0,SUM(AT62:AT93),0)</f>
        <v>0</v>
      </c>
    </row>
    <row r="95" spans="2:46" x14ac:dyDescent="0.2">
      <c r="B95" s="27" t="s">
        <v>423</v>
      </c>
      <c r="C95" s="28" t="s">
        <v>47</v>
      </c>
      <c r="D95" s="36" t="s">
        <v>424</v>
      </c>
      <c r="E95" s="29" t="s">
        <v>281</v>
      </c>
      <c r="F95" s="29" t="s">
        <v>153</v>
      </c>
      <c r="G95" s="28" t="s">
        <v>425</v>
      </c>
      <c r="H95" s="20" t="s">
        <v>151</v>
      </c>
      <c r="I95" s="21" t="s">
        <v>151</v>
      </c>
      <c r="J95" s="21" t="s">
        <v>151</v>
      </c>
      <c r="K95" s="22" t="s">
        <v>151</v>
      </c>
      <c r="L95" s="23" t="s">
        <v>151</v>
      </c>
      <c r="M95" s="23" t="s">
        <v>151</v>
      </c>
      <c r="N95" s="29"/>
      <c r="O95" s="29"/>
      <c r="P95" s="29">
        <v>0</v>
      </c>
      <c r="Q95" s="29">
        <v>0</v>
      </c>
      <c r="R95" s="29">
        <v>0</v>
      </c>
      <c r="S95" s="29">
        <v>0</v>
      </c>
      <c r="T95" s="29">
        <v>2.8000000000000001E-2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4">
        <v>0</v>
      </c>
      <c r="AA95" s="24">
        <v>0</v>
      </c>
      <c r="AB95" s="29">
        <v>0</v>
      </c>
      <c r="AC95" s="29">
        <v>0</v>
      </c>
      <c r="AD95" s="29">
        <v>12693.9</v>
      </c>
      <c r="AE95" s="29">
        <v>0</v>
      </c>
      <c r="AF95" s="3">
        <v>12693.9</v>
      </c>
      <c r="AG95" s="3">
        <v>0</v>
      </c>
      <c r="AH95" s="29">
        <v>0</v>
      </c>
      <c r="AI95" s="29">
        <v>0</v>
      </c>
      <c r="AJ95" s="29">
        <v>12693.9</v>
      </c>
      <c r="AK95" s="29">
        <v>12693.9</v>
      </c>
      <c r="AL95" s="90" t="s">
        <v>426</v>
      </c>
      <c r="AM95" s="29" t="s">
        <v>294</v>
      </c>
      <c r="AN95" s="31">
        <v>45931</v>
      </c>
      <c r="AO95" s="29">
        <v>1</v>
      </c>
      <c r="AP95" s="29">
        <v>9</v>
      </c>
      <c r="AQ95" s="29">
        <v>36</v>
      </c>
      <c r="AR95" s="29" t="s">
        <v>295</v>
      </c>
    </row>
    <row r="97" spans="45:51" x14ac:dyDescent="0.2">
      <c r="AS97" s="3"/>
      <c r="AT97" s="3"/>
      <c r="AX97" s="5"/>
      <c r="AY97" s="5"/>
    </row>
    <row r="98" spans="45:51" x14ac:dyDescent="0.2">
      <c r="AS98" s="3"/>
      <c r="AT98" s="3"/>
      <c r="AX98" s="5"/>
      <c r="AY98" s="5"/>
    </row>
  </sheetData>
  <conditionalFormatting sqref="B2:B13">
    <cfRule type="duplicateValues" dxfId="23" priority="22"/>
  </conditionalFormatting>
  <conditionalFormatting sqref="B16:B17">
    <cfRule type="duplicateValues" dxfId="22" priority="23"/>
  </conditionalFormatting>
  <conditionalFormatting sqref="B20:B34">
    <cfRule type="duplicateValues" dxfId="21" priority="16"/>
  </conditionalFormatting>
  <conditionalFormatting sqref="B37:B51">
    <cfRule type="duplicateValues" dxfId="20" priority="12"/>
  </conditionalFormatting>
  <conditionalFormatting sqref="B55:B58">
    <cfRule type="duplicateValues" dxfId="19" priority="8"/>
  </conditionalFormatting>
  <conditionalFormatting sqref="B61:B95">
    <cfRule type="duplicateValues" dxfId="18" priority="4"/>
  </conditionalFormatting>
  <conditionalFormatting sqref="F2:F13">
    <cfRule type="duplicateValues" dxfId="17" priority="20"/>
  </conditionalFormatting>
  <conditionalFormatting sqref="F16:F17">
    <cfRule type="duplicateValues" dxfId="16" priority="24"/>
  </conditionalFormatting>
  <conditionalFormatting sqref="F20:F34">
    <cfRule type="duplicateValues" dxfId="15" priority="14"/>
  </conditionalFormatting>
  <conditionalFormatting sqref="F37:F51">
    <cfRule type="duplicateValues" dxfId="14" priority="10"/>
  </conditionalFormatting>
  <conditionalFormatting sqref="F55:F58">
    <cfRule type="duplicateValues" dxfId="13" priority="6"/>
  </conditionalFormatting>
  <conditionalFormatting sqref="F61:F95">
    <cfRule type="duplicateValues" dxfId="12" priority="2"/>
  </conditionalFormatting>
  <conditionalFormatting sqref="Z2:AA13">
    <cfRule type="cellIs" dxfId="11" priority="21" operator="lessThan">
      <formula>0</formula>
    </cfRule>
  </conditionalFormatting>
  <conditionalFormatting sqref="Z16:AA17">
    <cfRule type="cellIs" dxfId="10" priority="18" operator="lessThan">
      <formula>0</formula>
    </cfRule>
  </conditionalFormatting>
  <conditionalFormatting sqref="Z20:AA34">
    <cfRule type="cellIs" dxfId="9" priority="15" operator="lessThan">
      <formula>0</formula>
    </cfRule>
  </conditionalFormatting>
  <conditionalFormatting sqref="Z37:AA51">
    <cfRule type="cellIs" dxfId="8" priority="11" operator="lessThan">
      <formula>0</formula>
    </cfRule>
  </conditionalFormatting>
  <conditionalFormatting sqref="Z55:AA58">
    <cfRule type="cellIs" dxfId="7" priority="7" operator="lessThan">
      <formula>0</formula>
    </cfRule>
  </conditionalFormatting>
  <conditionalFormatting sqref="Z61:AA95">
    <cfRule type="cellIs" dxfId="6" priority="3" operator="lessThan">
      <formula>0</formula>
    </cfRule>
  </conditionalFormatting>
  <conditionalFormatting sqref="AK2:AK13">
    <cfRule type="cellIs" dxfId="5" priority="19" operator="greaterThan">
      <formula>1500</formula>
    </cfRule>
  </conditionalFormatting>
  <conditionalFormatting sqref="AK16:AK17">
    <cfRule type="cellIs" dxfId="4" priority="17" operator="greaterThan">
      <formula>1500</formula>
    </cfRule>
  </conditionalFormatting>
  <conditionalFormatting sqref="AK20:AK34">
    <cfRule type="cellIs" dxfId="3" priority="13" operator="greaterThan">
      <formula>1500</formula>
    </cfRule>
  </conditionalFormatting>
  <conditionalFormatting sqref="AK37:AK51">
    <cfRule type="cellIs" dxfId="2" priority="9" operator="greaterThan">
      <formula>1500</formula>
    </cfRule>
  </conditionalFormatting>
  <conditionalFormatting sqref="AK55:AK58">
    <cfRule type="cellIs" dxfId="1" priority="5" operator="greaterThan">
      <formula>1500</formula>
    </cfRule>
  </conditionalFormatting>
  <conditionalFormatting sqref="AK61:AK95">
    <cfRule type="cellIs" dxfId="0" priority="1" operator="greaterThan">
      <formula>1500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 Marketing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MEI JEAN</dc:creator>
  <cp:lastModifiedBy>Muhammad Dhaifullah</cp:lastModifiedBy>
  <dcterms:created xsi:type="dcterms:W3CDTF">2026-07-21T06:49:10Z</dcterms:created>
  <dcterms:modified xsi:type="dcterms:W3CDTF">2026-07-21T09:35:38Z</dcterms:modified>
</cp:coreProperties>
</file>